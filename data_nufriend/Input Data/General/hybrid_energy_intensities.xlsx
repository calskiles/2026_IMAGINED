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pld508_ads_northwestern_edu/Documents/Adrian Hernandez/ARPA-E LOCOMOTIVES/Alpha Framework/Input Data/General/"/>
    </mc:Choice>
  </mc:AlternateContent>
  <xr:revisionPtr revIDLastSave="378" documentId="8_{2A53462E-E94E-E14B-A760-A0751E402524}" xr6:coauthVersionLast="47" xr6:coauthVersionMax="47" xr10:uidLastSave="{A290D5DB-12F3-D541-B579-BFBCD3013165}"/>
  <bookViews>
    <workbookView xWindow="-32000" yWindow="0" windowWidth="32000" windowHeight="18000" activeTab="4" xr2:uid="{3345FBEF-7862-3B42-87C4-673231EACF58}"/>
  </bookViews>
  <sheets>
    <sheet name="Hybrid Energy Intensities - Adj" sheetId="4" r:id="rId1"/>
    <sheet name="Hybrid Energy Intensities" sheetId="1" r:id="rId2"/>
    <sheet name="Railroad Values" sheetId="2" r:id="rId3"/>
    <sheet name="States and Regions" sheetId="3" r:id="rId4"/>
    <sheet name="hybrid_energy_intensities" sheetId="6" r:id="rId5"/>
    <sheet name="Sheet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C12" i="6"/>
  <c r="D12" i="6"/>
  <c r="E12" i="6"/>
  <c r="F12" i="6"/>
  <c r="G12" i="6"/>
  <c r="H12" i="6"/>
  <c r="C13" i="6"/>
  <c r="D13" i="6"/>
  <c r="E13" i="6"/>
  <c r="F13" i="6"/>
  <c r="G13" i="6"/>
  <c r="H13" i="6"/>
  <c r="C14" i="6"/>
  <c r="D14" i="6"/>
  <c r="E14" i="6"/>
  <c r="F14" i="6"/>
  <c r="G14" i="6"/>
  <c r="H14" i="6"/>
  <c r="C15" i="6"/>
  <c r="D15" i="6"/>
  <c r="E15" i="6"/>
  <c r="F15" i="6"/>
  <c r="G15" i="6"/>
  <c r="H15" i="6"/>
  <c r="C16" i="6"/>
  <c r="D16" i="6"/>
  <c r="E16" i="6"/>
  <c r="F16" i="6"/>
  <c r="G16" i="6"/>
  <c r="H16" i="6"/>
  <c r="C17" i="6"/>
  <c r="D17" i="6"/>
  <c r="E17" i="6"/>
  <c r="F17" i="6"/>
  <c r="G17" i="6"/>
  <c r="H17" i="6"/>
  <c r="C18" i="6"/>
  <c r="D18" i="6"/>
  <c r="E18" i="6"/>
  <c r="F18" i="6"/>
  <c r="G18" i="6"/>
  <c r="H18" i="6"/>
  <c r="C19" i="6"/>
  <c r="D19" i="6"/>
  <c r="E19" i="6"/>
  <c r="F19" i="6"/>
  <c r="G19" i="6"/>
  <c r="H19" i="6"/>
  <c r="C20" i="6"/>
  <c r="D20" i="6"/>
  <c r="E20" i="6"/>
  <c r="F20" i="6"/>
  <c r="G20" i="6"/>
  <c r="H20" i="6"/>
  <c r="C21" i="6"/>
  <c r="D21" i="6"/>
  <c r="E21" i="6"/>
  <c r="F21" i="6"/>
  <c r="G21" i="6"/>
  <c r="H21" i="6"/>
  <c r="C22" i="6"/>
  <c r="D22" i="6"/>
  <c r="E22" i="6"/>
  <c r="F22" i="6"/>
  <c r="G22" i="6"/>
  <c r="H22" i="6"/>
  <c r="C23" i="6"/>
  <c r="D23" i="6"/>
  <c r="E23" i="6"/>
  <c r="F23" i="6"/>
  <c r="G23" i="6"/>
  <c r="H23" i="6"/>
  <c r="C24" i="6"/>
  <c r="D24" i="6"/>
  <c r="E24" i="6"/>
  <c r="F24" i="6"/>
  <c r="G24" i="6"/>
  <c r="H24" i="6"/>
  <c r="C25" i="6"/>
  <c r="D25" i="6"/>
  <c r="E25" i="6"/>
  <c r="F25" i="6"/>
  <c r="G25" i="6"/>
  <c r="H25" i="6"/>
  <c r="C26" i="6"/>
  <c r="D26" i="6"/>
  <c r="E26" i="6"/>
  <c r="F26" i="6"/>
  <c r="G26" i="6"/>
  <c r="H26" i="6"/>
  <c r="C27" i="6"/>
  <c r="D27" i="6"/>
  <c r="E27" i="6"/>
  <c r="F27" i="6"/>
  <c r="G27" i="6"/>
  <c r="H27" i="6"/>
  <c r="C28" i="6"/>
  <c r="D28" i="6"/>
  <c r="E28" i="6"/>
  <c r="F28" i="6"/>
  <c r="G28" i="6"/>
  <c r="H28" i="6"/>
  <c r="C29" i="6"/>
  <c r="D29" i="6"/>
  <c r="E29" i="6"/>
  <c r="F29" i="6"/>
  <c r="G29" i="6"/>
  <c r="H29" i="6"/>
  <c r="C30" i="6"/>
  <c r="D30" i="6"/>
  <c r="E30" i="6"/>
  <c r="F30" i="6"/>
  <c r="G30" i="6"/>
  <c r="H30" i="6"/>
  <c r="C31" i="6"/>
  <c r="D31" i="6"/>
  <c r="E31" i="6"/>
  <c r="F31" i="6"/>
  <c r="G31" i="6"/>
  <c r="H31" i="6"/>
  <c r="C32" i="6"/>
  <c r="D32" i="6"/>
  <c r="E32" i="6"/>
  <c r="F32" i="6"/>
  <c r="G32" i="6"/>
  <c r="H32" i="6"/>
  <c r="C33" i="6"/>
  <c r="D33" i="6"/>
  <c r="E33" i="6"/>
  <c r="F33" i="6"/>
  <c r="G33" i="6"/>
  <c r="H33" i="6"/>
  <c r="C34" i="6"/>
  <c r="D34" i="6"/>
  <c r="E34" i="6"/>
  <c r="F34" i="6"/>
  <c r="G34" i="6"/>
  <c r="H34" i="6"/>
  <c r="C35" i="6"/>
  <c r="D35" i="6"/>
  <c r="E35" i="6"/>
  <c r="F35" i="6"/>
  <c r="G35" i="6"/>
  <c r="H35" i="6"/>
  <c r="C36" i="6"/>
  <c r="D36" i="6"/>
  <c r="E36" i="6"/>
  <c r="F36" i="6"/>
  <c r="G36" i="6"/>
  <c r="H36" i="6"/>
  <c r="C37" i="6"/>
  <c r="D37" i="6"/>
  <c r="E37" i="6"/>
  <c r="F37" i="6"/>
  <c r="G37" i="6"/>
  <c r="H37" i="6"/>
  <c r="C38" i="6"/>
  <c r="D38" i="6"/>
  <c r="E38" i="6"/>
  <c r="F38" i="6"/>
  <c r="G38" i="6"/>
  <c r="H38" i="6"/>
  <c r="C39" i="6"/>
  <c r="D39" i="6"/>
  <c r="E39" i="6"/>
  <c r="F39" i="6"/>
  <c r="G39" i="6"/>
  <c r="H39" i="6"/>
  <c r="C40" i="6"/>
  <c r="D40" i="6"/>
  <c r="E40" i="6"/>
  <c r="F40" i="6"/>
  <c r="G40" i="6"/>
  <c r="H40" i="6"/>
  <c r="C41" i="6"/>
  <c r="D41" i="6"/>
  <c r="E41" i="6"/>
  <c r="F41" i="6"/>
  <c r="G41" i="6"/>
  <c r="H41" i="6"/>
  <c r="C42" i="6"/>
  <c r="D42" i="6"/>
  <c r="E42" i="6"/>
  <c r="F42" i="6"/>
  <c r="G42" i="6"/>
  <c r="H42" i="6"/>
  <c r="C43" i="6"/>
  <c r="D43" i="6"/>
  <c r="E43" i="6"/>
  <c r="F43" i="6"/>
  <c r="G43" i="6"/>
  <c r="H43" i="6"/>
  <c r="C44" i="6"/>
  <c r="D44" i="6"/>
  <c r="E44" i="6"/>
  <c r="F44" i="6"/>
  <c r="G44" i="6"/>
  <c r="H44" i="6"/>
  <c r="C45" i="6"/>
  <c r="D45" i="6"/>
  <c r="E45" i="6"/>
  <c r="F45" i="6"/>
  <c r="G45" i="6"/>
  <c r="H45" i="6"/>
  <c r="C46" i="6"/>
  <c r="D46" i="6"/>
  <c r="E46" i="6"/>
  <c r="F46" i="6"/>
  <c r="G46" i="6"/>
  <c r="H46" i="6"/>
  <c r="C47" i="6"/>
  <c r="D47" i="6"/>
  <c r="E47" i="6"/>
  <c r="F47" i="6"/>
  <c r="G47" i="6"/>
  <c r="H47" i="6"/>
  <c r="C48" i="6"/>
  <c r="D48" i="6"/>
  <c r="E48" i="6"/>
  <c r="F48" i="6"/>
  <c r="G48" i="6"/>
  <c r="H48" i="6"/>
  <c r="C49" i="6"/>
  <c r="D49" i="6"/>
  <c r="E49" i="6"/>
  <c r="F49" i="6"/>
  <c r="G49" i="6"/>
  <c r="H49" i="6"/>
  <c r="C50" i="6"/>
  <c r="D50" i="6"/>
  <c r="E50" i="6"/>
  <c r="F50" i="6"/>
  <c r="G50" i="6"/>
  <c r="H50" i="6"/>
  <c r="C51" i="6"/>
  <c r="D51" i="6"/>
  <c r="E51" i="6"/>
  <c r="F51" i="6"/>
  <c r="G51" i="6"/>
  <c r="H51" i="6"/>
  <c r="C52" i="6"/>
  <c r="D52" i="6"/>
  <c r="E52" i="6"/>
  <c r="F52" i="6"/>
  <c r="G52" i="6"/>
  <c r="H52" i="6"/>
  <c r="C53" i="6"/>
  <c r="D53" i="6"/>
  <c r="E53" i="6"/>
  <c r="F53" i="6"/>
  <c r="G53" i="6"/>
  <c r="H53" i="6"/>
  <c r="C54" i="6"/>
  <c r="D54" i="6"/>
  <c r="E54" i="6"/>
  <c r="F54" i="6"/>
  <c r="G54" i="6"/>
  <c r="H54" i="6"/>
  <c r="C55" i="6"/>
  <c r="D55" i="6"/>
  <c r="E55" i="6"/>
  <c r="F55" i="6"/>
  <c r="G55" i="6"/>
  <c r="H55" i="6"/>
  <c r="C56" i="6"/>
  <c r="D56" i="6"/>
  <c r="E56" i="6"/>
  <c r="F56" i="6"/>
  <c r="G56" i="6"/>
  <c r="H56" i="6"/>
  <c r="B56" i="6"/>
  <c r="B55" i="6"/>
  <c r="B54" i="6"/>
  <c r="B52" i="6"/>
  <c r="B53" i="6"/>
  <c r="B51" i="6"/>
  <c r="B48" i="6"/>
  <c r="B49" i="6"/>
  <c r="B50" i="6"/>
  <c r="B47" i="6"/>
  <c r="B43" i="6"/>
  <c r="B44" i="6"/>
  <c r="B45" i="6"/>
  <c r="B46" i="6"/>
  <c r="B42" i="6"/>
  <c r="B37" i="6"/>
  <c r="B38" i="6"/>
  <c r="B39" i="6"/>
  <c r="B40" i="6"/>
  <c r="B41" i="6"/>
  <c r="B36" i="6"/>
  <c r="B30" i="6"/>
  <c r="B31" i="6"/>
  <c r="B32" i="6"/>
  <c r="B33" i="6"/>
  <c r="B34" i="6"/>
  <c r="B35" i="6"/>
  <c r="B29" i="6"/>
  <c r="B22" i="6"/>
  <c r="B23" i="6"/>
  <c r="B24" i="6"/>
  <c r="B25" i="6"/>
  <c r="B26" i="6"/>
  <c r="B27" i="6"/>
  <c r="B28" i="6"/>
  <c r="B21" i="6"/>
  <c r="B13" i="6"/>
  <c r="B14" i="6"/>
  <c r="B15" i="6"/>
  <c r="B16" i="6"/>
  <c r="B17" i="6"/>
  <c r="B18" i="6"/>
  <c r="B19" i="6"/>
  <c r="B20" i="6"/>
  <c r="B12" i="6"/>
  <c r="I21" i="4"/>
  <c r="I22" i="4"/>
  <c r="I23" i="4"/>
  <c r="I24" i="4"/>
  <c r="I25" i="4"/>
  <c r="I26" i="4"/>
  <c r="I27" i="4"/>
  <c r="I28" i="4"/>
  <c r="I29" i="4"/>
  <c r="I30" i="4"/>
  <c r="I20" i="4"/>
  <c r="C30" i="4"/>
  <c r="M3" i="2"/>
  <c r="M4" i="2"/>
  <c r="M5" i="2"/>
  <c r="M6" i="2"/>
  <c r="M7" i="2"/>
  <c r="M8" i="2"/>
  <c r="M9" i="2"/>
  <c r="M10" i="2"/>
  <c r="M11" i="2"/>
  <c r="M12" i="2"/>
  <c r="M2" i="2"/>
</calcChain>
</file>

<file path=xl/sharedStrings.xml><?xml version="1.0" encoding="utf-8"?>
<sst xmlns="http://schemas.openxmlformats.org/spreadsheetml/2006/main" count="189" uniqueCount="157">
  <si>
    <t>Diesel (btu/ton-mi)</t>
  </si>
  <si>
    <t>Battery (btu/ton-mi)</t>
  </si>
  <si>
    <t>Train Configurations</t>
  </si>
  <si>
    <t># Locomotives</t>
  </si>
  <si>
    <t>Fuel Type</t>
  </si>
  <si>
    <t>Region</t>
  </si>
  <si>
    <t>Railroad</t>
  </si>
  <si>
    <t>Revenue ton-mi/gallon</t>
  </si>
  <si>
    <t>Energy intensity (btu/ton-mi)</t>
  </si>
  <si>
    <t>Energy correction factor</t>
  </si>
  <si>
    <t>loc/train</t>
  </si>
  <si>
    <t>car/train</t>
  </si>
  <si>
    <t>ton/loc</t>
  </si>
  <si>
    <t>battery $/ton-mile</t>
  </si>
  <si>
    <t>Cryo-pump tender $/ton-mile</t>
  </si>
  <si>
    <t>350 via pump tender $/ton-mile</t>
  </si>
  <si>
    <t>700 via pump tender $/ton-mile</t>
  </si>
  <si>
    <t>annual ton-miles</t>
  </si>
  <si>
    <t>BNSF</t>
  </si>
  <si>
    <t>UP</t>
  </si>
  <si>
    <t>NS</t>
  </si>
  <si>
    <t>CSXT</t>
  </si>
  <si>
    <t>CN</t>
  </si>
  <si>
    <t>CP</t>
  </si>
  <si>
    <t>KCS</t>
  </si>
  <si>
    <t>WCAN</t>
  </si>
  <si>
    <t>7.65E+11</t>
  </si>
  <si>
    <t>EAST</t>
  </si>
  <si>
    <t>4.26E+11</t>
  </si>
  <si>
    <t>USA</t>
  </si>
  <si>
    <t>1.61E+12</t>
  </si>
  <si>
    <t>USA1</t>
  </si>
  <si>
    <t>8.92E+11</t>
  </si>
  <si>
    <t>relative efficiency factor</t>
  </si>
  <si>
    <t>state</t>
  </si>
  <si>
    <t>region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</si>
  <si>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</si>
  <si>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</si>
  <si>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</si>
  <si>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</si>
  <si>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</si>
  <si>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</si>
  <si>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</si>
  <si>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</si>
  <si>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</si>
  <si>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</si>
  <si>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</si>
  <si>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</si>
  <si>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</si>
  <si>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</si>
  <si>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</si>
  <si>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</si>
  <si>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</si>
  <si>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</si>
  <si>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</si>
  <si>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</si>
  <si>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</si>
  <si>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</si>
  <si>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</si>
  <si>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</si>
  <si>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</si>
  <si>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</si>
  <si>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</si>
  <si>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</si>
  <si>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</si>
  <si>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</si>
  <si>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</si>
  <si>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</si>
  <si>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</si>
  <si>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</si>
  <si>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</si>
  <si>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</si>
  <si>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</si>
  <si>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</si>
  <si>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</si>
  <si>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</si>
  <si>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</si>
  <si>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</si>
  <si>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</si>
  <si>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</si>
  <si>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</si>
  <si>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</si>
  <si>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</si>
  <si>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</si>
  <si>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</si>
  <si>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</si>
  <si>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</si>
  <si>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hybrid energy factor</t>
  </si>
  <si>
    <t>alignmnent</t>
  </si>
  <si>
    <t>diesel 1:0 (btu/ton-mi)</t>
  </si>
  <si>
    <t>battery 1:0 (btu/ton-mi)</t>
  </si>
  <si>
    <t>diesel 2:1 (btu/ton-mi)</t>
  </si>
  <si>
    <t>battery 2:1 (btu/ton-mi)</t>
  </si>
  <si>
    <t>diesel 1:1 (btu/ton-mi)</t>
  </si>
  <si>
    <t>battery 1:1 (btu/ton-mi)</t>
  </si>
  <si>
    <t>diesel 0:1 (btu/ton-mi)</t>
  </si>
  <si>
    <t>battery 0:1 (btu/ton-mi)</t>
  </si>
  <si>
    <t>05</t>
  </si>
  <si>
    <t>06</t>
  </si>
  <si>
    <t>07</t>
  </si>
  <si>
    <t>08</t>
  </si>
  <si>
    <t>09</t>
  </si>
  <si>
    <t>a0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</si>
  <si>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</si>
  <si>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</si>
  <si>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</si>
  <si>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</si>
  <si>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</si>
  <si>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</si>
  <si>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</si>
  <si>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</si>
  <si>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</si>
  <si>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a0a1</t>
  </si>
  <si>
    <t>a0a3</t>
  </si>
  <si>
    <t>a0a2</t>
  </si>
  <si>
    <t>a0a4</t>
  </si>
  <si>
    <t>a0a5</t>
  </si>
  <si>
    <t>a0a6</t>
  </si>
  <si>
    <t>a0a7</t>
  </si>
  <si>
    <t>a0a8</t>
  </si>
  <si>
    <t>a0a9</t>
  </si>
  <si>
    <t>a1a2</t>
  </si>
  <si>
    <t>a1a3</t>
  </si>
  <si>
    <t>a1a4</t>
  </si>
  <si>
    <t>a1a5</t>
  </si>
  <si>
    <t>a1a6</t>
  </si>
  <si>
    <t>a1a7</t>
  </si>
  <si>
    <t>a1a8</t>
  </si>
  <si>
    <t>a1a9</t>
  </si>
  <si>
    <t>a2a3</t>
  </si>
  <si>
    <t>a2a4</t>
  </si>
  <si>
    <t>a2a5</t>
  </si>
  <si>
    <t>a2a6</t>
  </si>
  <si>
    <t>a2a7</t>
  </si>
  <si>
    <t>a2a8</t>
  </si>
  <si>
    <t>a2a9</t>
  </si>
  <si>
    <t>a3a4</t>
  </si>
  <si>
    <t>a3a5</t>
  </si>
  <si>
    <t>a3a6</t>
  </si>
  <si>
    <t>a3a7</t>
  </si>
  <si>
    <t>a3a8</t>
  </si>
  <si>
    <t>a3a9</t>
  </si>
  <si>
    <t>a4a5</t>
  </si>
  <si>
    <t>a4a6</t>
  </si>
  <si>
    <t>a4a7</t>
  </si>
  <si>
    <t>a4a8</t>
  </si>
  <si>
    <t>a4a9</t>
  </si>
  <si>
    <t>a5a6</t>
  </si>
  <si>
    <t>a5a7</t>
  </si>
  <si>
    <t>a5a8</t>
  </si>
  <si>
    <t>a5a9</t>
  </si>
  <si>
    <t>a6a7</t>
  </si>
  <si>
    <t>a6a8</t>
  </si>
  <si>
    <t>a6a9</t>
  </si>
  <si>
    <t>a7a8</t>
  </si>
  <si>
    <t>a7a9</t>
  </si>
  <si>
    <t>a8a9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</si>
</sst>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6" borderId="10" xfId="0" applyFill="1" applyBorder="1"/>
    <xf numFmtId="0" fontId="0" fillId="6" borderId="11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11" xfId="0" applyFill="1" applyBorder="1"/>
    <xf numFmtId="2" fontId="0" fillId="4" borderId="1" xfId="0" applyNumberFormat="1" applyFill="1" applyBorder="1"/>
    <xf numFmtId="2" fontId="0" fillId="4" borderId="2" xfId="0" applyNumberFormat="1" applyFill="1" applyBorder="1"/>
    <xf numFmtId="2" fontId="0" fillId="5" borderId="1" xfId="0" applyNumberFormat="1" applyFill="1" applyBorder="1"/>
    <xf numFmtId="2" fontId="0" fillId="5" borderId="2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5" borderId="5" xfId="0" applyNumberFormat="1" applyFill="1" applyBorder="1"/>
    <xf numFmtId="2" fontId="0" fillId="5" borderId="6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5" borderId="3" xfId="0" applyNumberFormat="1" applyFill="1" applyBorder="1"/>
    <xf numFmtId="2" fontId="0" fillId="5" borderId="4" xfId="0" applyNumberFormat="1" applyFill="1" applyBorder="1"/>
    <xf numFmtId="0" fontId="0" fillId="0" borderId="0" xfId="0" quotePrefix="1"/>
    <xf numFmtId="11" fontId="0" fillId="0" borderId="0" xfId="0" quotePrefix="1" applyNumberFormat="1"/>
    <xf numFmtId="0" fontId="1" fillId="0" borderId="0" xfId="0" applyFont="1"/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 vertical="center" textRotation="90"/>
    </xf>
    <xf numFmtId="0" fontId="0" fillId="6" borderId="12" xfId="0" applyFill="1" applyBorder="1" applyAlignment="1">
      <alignment horizontal="center" vertical="center" textRotation="90"/>
    </xf>
    <xf numFmtId="0" fontId="0" fillId="6" borderId="11" xfId="0" applyFill="1" applyBorder="1" applyAlignment="1">
      <alignment horizontal="center" vertical="center" textRotation="90"/>
    </xf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26BD-D1B8-8D46-9168-000622A5AA1E}">
  <dimension ref="A2:K30"/>
  <sheetViews>
    <sheetView workbookViewId="0">
      <selection activeCell="I20" sqref="I20"/>
    </sheetView>
  </sheetViews>
  <sheetFormatPr baseColWidth="10" defaultRowHeight="16" x14ac:dyDescent="0.2"/>
  <cols>
    <col min="1" max="1" width="3.6640625" bestFit="1" customWidth="1"/>
    <col min="2" max="2" width="12.6640625" bestFit="1" customWidth="1"/>
    <col min="3" max="3" width="16.83203125" bestFit="1" customWidth="1"/>
    <col min="4" max="4" width="17.6640625" bestFit="1" customWidth="1"/>
    <col min="5" max="5" width="16.83203125" bestFit="1" customWidth="1"/>
    <col min="6" max="6" width="17.6640625" bestFit="1" customWidth="1"/>
    <col min="7" max="7" width="16.83203125" bestFit="1" customWidth="1"/>
    <col min="8" max="8" width="17.6640625" bestFit="1" customWidth="1"/>
    <col min="9" max="9" width="16.83203125" bestFit="1" customWidth="1"/>
    <col min="10" max="10" width="17.6640625" bestFit="1" customWidth="1"/>
  </cols>
  <sheetData>
    <row r="2" spans="1:11" x14ac:dyDescent="0.2">
      <c r="C2" s="29" t="s">
        <v>2</v>
      </c>
      <c r="D2" s="30"/>
      <c r="E2" s="30"/>
      <c r="F2" s="30"/>
      <c r="G2" s="30"/>
      <c r="H2" s="30"/>
      <c r="I2" s="30"/>
      <c r="J2" s="31"/>
    </row>
    <row r="3" spans="1:11" x14ac:dyDescent="0.2">
      <c r="B3" s="9" t="s">
        <v>3</v>
      </c>
      <c r="C3" s="1">
        <v>6</v>
      </c>
      <c r="D3" s="2">
        <v>0</v>
      </c>
      <c r="E3" s="5">
        <v>4</v>
      </c>
      <c r="F3" s="6">
        <v>2</v>
      </c>
      <c r="G3" s="1">
        <v>3</v>
      </c>
      <c r="H3" s="2">
        <v>3</v>
      </c>
      <c r="I3" s="5">
        <v>0</v>
      </c>
      <c r="J3" s="6">
        <v>6</v>
      </c>
    </row>
    <row r="4" spans="1:11" x14ac:dyDescent="0.2">
      <c r="B4" s="10" t="s">
        <v>4</v>
      </c>
      <c r="C4" s="3" t="s">
        <v>0</v>
      </c>
      <c r="D4" s="4" t="s">
        <v>1</v>
      </c>
      <c r="E4" s="7" t="s">
        <v>0</v>
      </c>
      <c r="F4" s="8" t="s">
        <v>1</v>
      </c>
      <c r="G4" s="3" t="s">
        <v>0</v>
      </c>
      <c r="H4" s="4" t="s">
        <v>1</v>
      </c>
      <c r="I4" s="7" t="s">
        <v>0</v>
      </c>
      <c r="J4" s="8" t="s">
        <v>1</v>
      </c>
    </row>
    <row r="5" spans="1:11" x14ac:dyDescent="0.2">
      <c r="A5" s="32" t="s">
        <v>5</v>
      </c>
      <c r="B5" s="11">
        <v>0</v>
      </c>
      <c r="C5" s="14">
        <v>254.8741302409891</v>
      </c>
      <c r="D5" s="15">
        <v>0</v>
      </c>
      <c r="E5" s="16">
        <v>194.144629302483</v>
      </c>
      <c r="F5" s="17">
        <v>32.277965559693897</v>
      </c>
      <c r="G5" s="14">
        <v>148.184976893613</v>
      </c>
      <c r="H5" s="15">
        <v>49.465778467430503</v>
      </c>
      <c r="I5" s="16">
        <v>0</v>
      </c>
      <c r="J5" s="17">
        <v>106.37993213333</v>
      </c>
    </row>
    <row r="6" spans="1:11" x14ac:dyDescent="0.2">
      <c r="A6" s="33"/>
      <c r="B6" s="12">
        <v>1</v>
      </c>
      <c r="C6" s="18">
        <v>355.72738549333974</v>
      </c>
      <c r="D6" s="19">
        <v>0</v>
      </c>
      <c r="E6" s="20">
        <v>277.437029244678</v>
      </c>
      <c r="F6" s="21">
        <v>38.501842165965201</v>
      </c>
      <c r="G6" s="18">
        <v>211.72377575699699</v>
      </c>
      <c r="H6" s="19">
        <v>59.400713313157702</v>
      </c>
      <c r="I6" s="20">
        <v>0</v>
      </c>
      <c r="J6" s="21">
        <v>128.361485400032</v>
      </c>
    </row>
    <row r="7" spans="1:11" x14ac:dyDescent="0.2">
      <c r="A7" s="33"/>
      <c r="B7" s="12">
        <v>2</v>
      </c>
      <c r="C7" s="18">
        <v>272.65896122412408</v>
      </c>
      <c r="D7" s="19">
        <v>0</v>
      </c>
      <c r="E7" s="20">
        <v>211.27451254527301</v>
      </c>
      <c r="F7" s="21">
        <v>35.090885117252597</v>
      </c>
      <c r="G7" s="18">
        <v>162.948301114228</v>
      </c>
      <c r="H7" s="19">
        <v>54.282379422073198</v>
      </c>
      <c r="I7" s="20">
        <v>0</v>
      </c>
      <c r="J7" s="21">
        <v>124.026384058934</v>
      </c>
    </row>
    <row r="8" spans="1:11" x14ac:dyDescent="0.2">
      <c r="A8" s="33"/>
      <c r="B8" s="12">
        <v>3</v>
      </c>
      <c r="C8" s="18">
        <v>265.38848916900986</v>
      </c>
      <c r="D8" s="19">
        <v>0</v>
      </c>
      <c r="E8" s="20">
        <v>207.95703890771699</v>
      </c>
      <c r="F8" s="21">
        <v>35.835254654587303</v>
      </c>
      <c r="G8" s="18">
        <v>161.15215299761701</v>
      </c>
      <c r="H8" s="19">
        <v>55.583257714739801</v>
      </c>
      <c r="I8" s="20">
        <v>0</v>
      </c>
      <c r="J8" s="21">
        <v>124.70862609049</v>
      </c>
    </row>
    <row r="9" spans="1:11" x14ac:dyDescent="0.2">
      <c r="A9" s="33"/>
      <c r="B9" s="12">
        <v>4</v>
      </c>
      <c r="C9" s="18">
        <v>222.76437801167708</v>
      </c>
      <c r="D9" s="19">
        <v>0</v>
      </c>
      <c r="E9" s="20">
        <v>169.20412331615401</v>
      </c>
      <c r="F9" s="21">
        <v>30.2930007704487</v>
      </c>
      <c r="G9" s="18">
        <v>129.18583471044099</v>
      </c>
      <c r="H9" s="19">
        <v>46.2747085758661</v>
      </c>
      <c r="I9" s="20">
        <v>0</v>
      </c>
      <c r="J9" s="21">
        <v>97.893077352293304</v>
      </c>
    </row>
    <row r="10" spans="1:11" x14ac:dyDescent="0.2">
      <c r="A10" s="33"/>
      <c r="B10" s="12">
        <v>5</v>
      </c>
      <c r="C10" s="18">
        <v>237.04291684734758</v>
      </c>
      <c r="D10" s="19">
        <v>0</v>
      </c>
      <c r="E10" s="20">
        <v>181.578916493306</v>
      </c>
      <c r="F10" s="21">
        <v>32.440852016030497</v>
      </c>
      <c r="G10" s="18">
        <v>138.748780004602</v>
      </c>
      <c r="H10" s="19">
        <v>49.595451090118502</v>
      </c>
      <c r="I10" s="20">
        <v>0</v>
      </c>
      <c r="J10" s="21">
        <v>105.859022899252</v>
      </c>
    </row>
    <row r="11" spans="1:11" x14ac:dyDescent="0.2">
      <c r="A11" s="33"/>
      <c r="B11" s="12">
        <v>6</v>
      </c>
      <c r="C11" s="18">
        <v>258.71549733388377</v>
      </c>
      <c r="D11" s="19">
        <v>0</v>
      </c>
      <c r="E11" s="20">
        <v>200.73339225049801</v>
      </c>
      <c r="F11" s="21">
        <v>35.225019460439597</v>
      </c>
      <c r="G11" s="18">
        <v>153.30586880188201</v>
      </c>
      <c r="H11" s="19">
        <v>53.907277167491102</v>
      </c>
      <c r="I11" s="20">
        <v>0</v>
      </c>
      <c r="J11" s="21">
        <v>121.62004921587</v>
      </c>
    </row>
    <row r="12" spans="1:11" x14ac:dyDescent="0.2">
      <c r="A12" s="33"/>
      <c r="B12" s="12">
        <v>7</v>
      </c>
      <c r="C12" s="18">
        <v>264.93331065178756</v>
      </c>
      <c r="D12" s="19">
        <v>0</v>
      </c>
      <c r="E12" s="20">
        <v>206.77998480266001</v>
      </c>
      <c r="F12" s="21">
        <v>35.932203505865999</v>
      </c>
      <c r="G12" s="18">
        <v>160.31383422073401</v>
      </c>
      <c r="H12" s="19">
        <v>55.786256573173397</v>
      </c>
      <c r="I12" s="20">
        <v>0</v>
      </c>
      <c r="J12" s="21">
        <v>124.90987472664</v>
      </c>
    </row>
    <row r="13" spans="1:11" x14ac:dyDescent="0.2">
      <c r="A13" s="33"/>
      <c r="B13" s="12">
        <v>8</v>
      </c>
      <c r="C13" s="18">
        <v>246.4136047011668</v>
      </c>
      <c r="D13" s="19">
        <v>0</v>
      </c>
      <c r="E13" s="20">
        <v>190.00113691172399</v>
      </c>
      <c r="F13" s="21">
        <v>33.686412513927799</v>
      </c>
      <c r="G13" s="18">
        <v>145.58607451692799</v>
      </c>
      <c r="H13" s="19">
        <v>51.651547605630199</v>
      </c>
      <c r="I13" s="20">
        <v>0</v>
      </c>
      <c r="J13" s="21">
        <v>113.750102014856</v>
      </c>
    </row>
    <row r="14" spans="1:11" x14ac:dyDescent="0.2">
      <c r="A14" s="34"/>
      <c r="B14" s="13">
        <v>9</v>
      </c>
      <c r="C14" s="22">
        <v>283.68132632667425</v>
      </c>
      <c r="D14" s="23">
        <v>0</v>
      </c>
      <c r="E14" s="24">
        <v>223.97944611285899</v>
      </c>
      <c r="F14" s="25">
        <v>37.321605349001601</v>
      </c>
      <c r="G14" s="22">
        <v>172.48413681153599</v>
      </c>
      <c r="H14" s="23">
        <v>57.618227700960297</v>
      </c>
      <c r="I14" s="24">
        <v>0</v>
      </c>
      <c r="J14" s="25">
        <v>127.46492999614</v>
      </c>
    </row>
    <row r="15" spans="1:11" x14ac:dyDescent="0.2">
      <c r="C15" s="35"/>
      <c r="D15" s="35"/>
      <c r="E15" s="35"/>
      <c r="F15" s="35"/>
      <c r="G15" s="35"/>
      <c r="H15" s="35"/>
      <c r="I15" s="35"/>
      <c r="J15" s="35"/>
      <c r="K15" s="35"/>
    </row>
    <row r="19" spans="3:9" x14ac:dyDescent="0.2">
      <c r="F19" t="s">
        <v>6</v>
      </c>
      <c r="G19" t="s">
        <v>7</v>
      </c>
      <c r="H19" t="s">
        <v>8</v>
      </c>
      <c r="I19" t="s">
        <v>87</v>
      </c>
    </row>
    <row r="20" spans="3:9" x14ac:dyDescent="0.2">
      <c r="C20" s="14">
        <v>281.95775108325603</v>
      </c>
      <c r="F20" t="s">
        <v>18</v>
      </c>
      <c r="G20">
        <v>500.87</v>
      </c>
      <c r="H20">
        <v>258.52999999999997</v>
      </c>
      <c r="I20">
        <f>$C$30/H20</f>
        <v>1.139168622346137</v>
      </c>
    </row>
    <row r="21" spans="3:9" x14ac:dyDescent="0.2">
      <c r="C21" s="18">
        <v>393.52794855088899</v>
      </c>
      <c r="F21" t="s">
        <v>19</v>
      </c>
      <c r="G21">
        <v>452.85</v>
      </c>
      <c r="H21">
        <v>285.94</v>
      </c>
      <c r="I21">
        <f t="shared" ref="I21:I30" si="0">$C$30/H21</f>
        <v>1.0299687484617288</v>
      </c>
    </row>
    <row r="22" spans="3:9" x14ac:dyDescent="0.2">
      <c r="C22" s="18">
        <v>301.63244675621098</v>
      </c>
      <c r="F22" t="s">
        <v>20</v>
      </c>
      <c r="G22">
        <v>446</v>
      </c>
      <c r="H22">
        <v>290.33</v>
      </c>
      <c r="I22">
        <f t="shared" si="0"/>
        <v>1.0143948745742664</v>
      </c>
    </row>
    <row r="23" spans="3:9" x14ac:dyDescent="0.2">
      <c r="C23" s="18">
        <v>293.58939449337299</v>
      </c>
      <c r="F23" t="s">
        <v>21</v>
      </c>
      <c r="G23">
        <v>532.52</v>
      </c>
      <c r="H23">
        <v>243.16</v>
      </c>
      <c r="I23">
        <f t="shared" si="0"/>
        <v>1.2111747982198831</v>
      </c>
    </row>
    <row r="24" spans="3:9" x14ac:dyDescent="0.2">
      <c r="C24" s="18">
        <v>246.435928927916</v>
      </c>
      <c r="F24" t="s">
        <v>22</v>
      </c>
      <c r="G24">
        <v>530.12</v>
      </c>
      <c r="H24">
        <v>244.26</v>
      </c>
      <c r="I24">
        <f t="shared" si="0"/>
        <v>1.2057203960335166</v>
      </c>
    </row>
    <row r="25" spans="3:9" x14ac:dyDescent="0.2">
      <c r="C25" s="18">
        <v>262.23174427823801</v>
      </c>
      <c r="F25" t="s">
        <v>23</v>
      </c>
      <c r="G25">
        <v>565.97</v>
      </c>
      <c r="H25">
        <v>228.79</v>
      </c>
      <c r="I25">
        <f t="shared" si="0"/>
        <v>1.2872470996772007</v>
      </c>
    </row>
    <row r="26" spans="3:9" x14ac:dyDescent="0.2">
      <c r="C26" s="18">
        <v>286.20731232971798</v>
      </c>
      <c r="F26" t="s">
        <v>24</v>
      </c>
      <c r="G26">
        <v>518.16999999999996</v>
      </c>
      <c r="H26">
        <v>249.89</v>
      </c>
      <c r="I26">
        <f t="shared" si="0"/>
        <v>1.178555620213481</v>
      </c>
    </row>
    <row r="27" spans="3:9" x14ac:dyDescent="0.2">
      <c r="C27" s="18">
        <v>293.08584746435099</v>
      </c>
      <c r="F27" t="s">
        <v>25</v>
      </c>
      <c r="G27">
        <v>506.46</v>
      </c>
      <c r="H27">
        <v>255.9</v>
      </c>
      <c r="I27">
        <f t="shared" si="0"/>
        <v>1.1508763733299989</v>
      </c>
    </row>
    <row r="28" spans="3:9" x14ac:dyDescent="0.2">
      <c r="C28" s="18">
        <v>272.59818700378202</v>
      </c>
      <c r="F28" t="s">
        <v>27</v>
      </c>
      <c r="G28">
        <v>492</v>
      </c>
      <c r="H28">
        <v>265.17</v>
      </c>
      <c r="I28">
        <f t="shared" si="0"/>
        <v>1.1106432248563063</v>
      </c>
    </row>
    <row r="29" spans="3:9" x14ac:dyDescent="0.2">
      <c r="C29" s="22">
        <v>313.82607846373298</v>
      </c>
      <c r="F29" t="s">
        <v>29</v>
      </c>
      <c r="G29">
        <v>488.59</v>
      </c>
      <c r="H29">
        <v>266.22000000000003</v>
      </c>
      <c r="I29">
        <f t="shared" si="0"/>
        <v>1.1062627298292642</v>
      </c>
    </row>
    <row r="30" spans="3:9" x14ac:dyDescent="0.2">
      <c r="C30" s="35">
        <f>AVERAGE(C20:C29)</f>
        <v>294.50926393514675</v>
      </c>
      <c r="F30" t="s">
        <v>31</v>
      </c>
      <c r="G30">
        <v>489.56</v>
      </c>
      <c r="H30">
        <v>265.13</v>
      </c>
      <c r="I30">
        <f t="shared" si="0"/>
        <v>1.1108107869164061</v>
      </c>
    </row>
  </sheetData>
  <mergeCells count="2">
    <mergeCell ref="C2:J2"/>
    <mergeCell ref="A5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9E9A-B762-A94D-8CC1-2B1620A68E56}">
  <dimension ref="A2:K15"/>
  <sheetViews>
    <sheetView workbookViewId="0">
      <selection activeCell="I17" sqref="I17"/>
    </sheetView>
  </sheetViews>
  <sheetFormatPr baseColWidth="10" defaultRowHeight="16" x14ac:dyDescent="0.2"/>
  <cols>
    <col min="1" max="1" width="3.6640625" bestFit="1" customWidth="1"/>
    <col min="2" max="2" width="12.6640625" bestFit="1" customWidth="1"/>
    <col min="3" max="3" width="16.83203125" bestFit="1" customWidth="1"/>
    <col min="4" max="4" width="17.6640625" bestFit="1" customWidth="1"/>
    <col min="5" max="5" width="16.83203125" bestFit="1" customWidth="1"/>
    <col min="6" max="6" width="17.6640625" bestFit="1" customWidth="1"/>
    <col min="7" max="7" width="16.83203125" bestFit="1" customWidth="1"/>
    <col min="8" max="8" width="17.6640625" bestFit="1" customWidth="1"/>
    <col min="9" max="9" width="16.83203125" bestFit="1" customWidth="1"/>
    <col min="10" max="10" width="17.6640625" bestFit="1" customWidth="1"/>
  </cols>
  <sheetData>
    <row r="2" spans="1:11" x14ac:dyDescent="0.2">
      <c r="C2" s="29" t="s">
        <v>2</v>
      </c>
      <c r="D2" s="30"/>
      <c r="E2" s="30"/>
      <c r="F2" s="30"/>
      <c r="G2" s="30"/>
      <c r="H2" s="30"/>
      <c r="I2" s="30"/>
      <c r="J2" s="31"/>
    </row>
    <row r="3" spans="1:11" x14ac:dyDescent="0.2">
      <c r="B3" s="9" t="s">
        <v>3</v>
      </c>
      <c r="C3" s="1">
        <v>6</v>
      </c>
      <c r="D3" s="2">
        <v>0</v>
      </c>
      <c r="E3" s="5">
        <v>4</v>
      </c>
      <c r="F3" s="6">
        <v>2</v>
      </c>
      <c r="G3" s="1">
        <v>3</v>
      </c>
      <c r="H3" s="2">
        <v>3</v>
      </c>
      <c r="I3" s="5">
        <v>0</v>
      </c>
      <c r="J3" s="6">
        <v>6</v>
      </c>
    </row>
    <row r="4" spans="1:11" x14ac:dyDescent="0.2">
      <c r="B4" s="10" t="s">
        <v>4</v>
      </c>
      <c r="C4" s="3" t="s">
        <v>0</v>
      </c>
      <c r="D4" s="4" t="s">
        <v>1</v>
      </c>
      <c r="E4" s="7" t="s">
        <v>0</v>
      </c>
      <c r="F4" s="8" t="s">
        <v>1</v>
      </c>
      <c r="G4" s="3" t="s">
        <v>0</v>
      </c>
      <c r="H4" s="4" t="s">
        <v>1</v>
      </c>
      <c r="I4" s="7" t="s">
        <v>0</v>
      </c>
      <c r="J4" s="8" t="s">
        <v>1</v>
      </c>
    </row>
    <row r="5" spans="1:11" x14ac:dyDescent="0.2">
      <c r="A5" s="32" t="s">
        <v>5</v>
      </c>
      <c r="B5" s="11">
        <v>0</v>
      </c>
      <c r="C5" s="14">
        <v>281.95775108325603</v>
      </c>
      <c r="D5" s="15">
        <v>0</v>
      </c>
      <c r="E5" s="16">
        <v>194.144629302483</v>
      </c>
      <c r="F5" s="17">
        <v>32.277965559693897</v>
      </c>
      <c r="G5" s="14">
        <v>148.184976893613</v>
      </c>
      <c r="H5" s="15">
        <v>49.465778467430503</v>
      </c>
      <c r="I5" s="16">
        <v>0</v>
      </c>
      <c r="J5" s="17">
        <v>106.37993213333</v>
      </c>
    </row>
    <row r="6" spans="1:11" x14ac:dyDescent="0.2">
      <c r="A6" s="33"/>
      <c r="B6" s="12">
        <v>1</v>
      </c>
      <c r="C6" s="18">
        <v>393.52794855088899</v>
      </c>
      <c r="D6" s="19">
        <v>0</v>
      </c>
      <c r="E6" s="20">
        <v>277.437029244678</v>
      </c>
      <c r="F6" s="21">
        <v>38.501842165965201</v>
      </c>
      <c r="G6" s="18">
        <v>211.72377575699699</v>
      </c>
      <c r="H6" s="19">
        <v>59.400713313157702</v>
      </c>
      <c r="I6" s="20">
        <v>0</v>
      </c>
      <c r="J6" s="21">
        <v>128.361485400032</v>
      </c>
    </row>
    <row r="7" spans="1:11" x14ac:dyDescent="0.2">
      <c r="A7" s="33"/>
      <c r="B7" s="12">
        <v>2</v>
      </c>
      <c r="C7" s="18">
        <v>301.63244675621098</v>
      </c>
      <c r="D7" s="19">
        <v>0</v>
      </c>
      <c r="E7" s="20">
        <v>211.27451254527301</v>
      </c>
      <c r="F7" s="21">
        <v>35.090885117252597</v>
      </c>
      <c r="G7" s="18">
        <v>162.948301114228</v>
      </c>
      <c r="H7" s="19">
        <v>54.282379422073198</v>
      </c>
      <c r="I7" s="20">
        <v>0</v>
      </c>
      <c r="J7" s="21">
        <v>124.026384058934</v>
      </c>
    </row>
    <row r="8" spans="1:11" x14ac:dyDescent="0.2">
      <c r="A8" s="33"/>
      <c r="B8" s="12">
        <v>3</v>
      </c>
      <c r="C8" s="18">
        <v>293.58939449337299</v>
      </c>
      <c r="D8" s="19">
        <v>0</v>
      </c>
      <c r="E8" s="20">
        <v>207.95703890771699</v>
      </c>
      <c r="F8" s="21">
        <v>35.835254654587303</v>
      </c>
      <c r="G8" s="18">
        <v>161.15215299761701</v>
      </c>
      <c r="H8" s="19">
        <v>55.583257714739801</v>
      </c>
      <c r="I8" s="20">
        <v>0</v>
      </c>
      <c r="J8" s="21">
        <v>124.70862609049</v>
      </c>
    </row>
    <row r="9" spans="1:11" x14ac:dyDescent="0.2">
      <c r="A9" s="33"/>
      <c r="B9" s="12">
        <v>4</v>
      </c>
      <c r="C9" s="18">
        <v>246.435928927916</v>
      </c>
      <c r="D9" s="19">
        <v>0</v>
      </c>
      <c r="E9" s="20">
        <v>169.20412331615401</v>
      </c>
      <c r="F9" s="21">
        <v>30.2930007704487</v>
      </c>
      <c r="G9" s="18">
        <v>129.18583471044099</v>
      </c>
      <c r="H9" s="19">
        <v>46.2747085758661</v>
      </c>
      <c r="I9" s="20">
        <v>0</v>
      </c>
      <c r="J9" s="21">
        <v>97.893077352293304</v>
      </c>
    </row>
    <row r="10" spans="1:11" x14ac:dyDescent="0.2">
      <c r="A10" s="33"/>
      <c r="B10" s="12">
        <v>5</v>
      </c>
      <c r="C10" s="18">
        <v>262.23174427823801</v>
      </c>
      <c r="D10" s="19">
        <v>0</v>
      </c>
      <c r="E10" s="20">
        <v>181.578916493306</v>
      </c>
      <c r="F10" s="21">
        <v>32.440852016030497</v>
      </c>
      <c r="G10" s="18">
        <v>138.748780004602</v>
      </c>
      <c r="H10" s="19">
        <v>49.595451090118502</v>
      </c>
      <c r="I10" s="20">
        <v>0</v>
      </c>
      <c r="J10" s="21">
        <v>105.859022899252</v>
      </c>
    </row>
    <row r="11" spans="1:11" x14ac:dyDescent="0.2">
      <c r="A11" s="33"/>
      <c r="B11" s="12">
        <v>6</v>
      </c>
      <c r="C11" s="18">
        <v>286.20731232971798</v>
      </c>
      <c r="D11" s="19">
        <v>0</v>
      </c>
      <c r="E11" s="20">
        <v>200.73339225049801</v>
      </c>
      <c r="F11" s="21">
        <v>35.225019460439597</v>
      </c>
      <c r="G11" s="18">
        <v>153.30586880188201</v>
      </c>
      <c r="H11" s="19">
        <v>53.907277167491102</v>
      </c>
      <c r="I11" s="20">
        <v>0</v>
      </c>
      <c r="J11" s="21">
        <v>121.62004921587</v>
      </c>
    </row>
    <row r="12" spans="1:11" x14ac:dyDescent="0.2">
      <c r="A12" s="33"/>
      <c r="B12" s="12">
        <v>7</v>
      </c>
      <c r="C12" s="18">
        <v>293.08584746435099</v>
      </c>
      <c r="D12" s="19">
        <v>0</v>
      </c>
      <c r="E12" s="20">
        <v>206.77998480266001</v>
      </c>
      <c r="F12" s="21">
        <v>35.932203505865999</v>
      </c>
      <c r="G12" s="18">
        <v>160.31383422073401</v>
      </c>
      <c r="H12" s="19">
        <v>55.786256573173397</v>
      </c>
      <c r="I12" s="20">
        <v>0</v>
      </c>
      <c r="J12" s="21">
        <v>124.90987472664</v>
      </c>
    </row>
    <row r="13" spans="1:11" x14ac:dyDescent="0.2">
      <c r="A13" s="33"/>
      <c r="B13" s="12">
        <v>8</v>
      </c>
      <c r="C13" s="18">
        <v>272.59818700378202</v>
      </c>
      <c r="D13" s="19">
        <v>0</v>
      </c>
      <c r="E13" s="20">
        <v>190.00113691172399</v>
      </c>
      <c r="F13" s="21">
        <v>33.686412513927799</v>
      </c>
      <c r="G13" s="18">
        <v>145.58607451692799</v>
      </c>
      <c r="H13" s="19">
        <v>51.651547605630199</v>
      </c>
      <c r="I13" s="20">
        <v>0</v>
      </c>
      <c r="J13" s="21">
        <v>113.750102014856</v>
      </c>
    </row>
    <row r="14" spans="1:11" x14ac:dyDescent="0.2">
      <c r="A14" s="34"/>
      <c r="B14" s="13">
        <v>9</v>
      </c>
      <c r="C14" s="22">
        <v>313.82607846373298</v>
      </c>
      <c r="D14" s="23">
        <v>0</v>
      </c>
      <c r="E14" s="24">
        <v>223.97944611285899</v>
      </c>
      <c r="F14" s="25">
        <v>37.321605349001601</v>
      </c>
      <c r="G14" s="22">
        <v>172.48413681153599</v>
      </c>
      <c r="H14" s="23">
        <v>57.618227700960297</v>
      </c>
      <c r="I14" s="24">
        <v>0</v>
      </c>
      <c r="J14" s="25">
        <v>127.46492999614</v>
      </c>
    </row>
    <row r="15" spans="1:11" x14ac:dyDescent="0.2">
      <c r="C15" s="35"/>
      <c r="D15" s="35"/>
      <c r="E15" s="35"/>
      <c r="F15" s="35"/>
      <c r="G15" s="35"/>
      <c r="H15" s="35"/>
      <c r="I15" s="35"/>
      <c r="J15" s="35"/>
      <c r="K15" s="35"/>
    </row>
  </sheetData>
  <mergeCells count="2">
    <mergeCell ref="C2:J2"/>
    <mergeCell ref="A5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7835-035D-D342-BD90-ECB8F9FBDF2A}">
  <dimension ref="A1:M12"/>
  <sheetViews>
    <sheetView workbookViewId="0">
      <selection activeCell="M30" sqref="M30"/>
    </sheetView>
  </sheetViews>
  <sheetFormatPr baseColWidth="10" defaultRowHeight="16" x14ac:dyDescent="0.2"/>
  <cols>
    <col min="3" max="3" width="24.5" bestFit="1" customWidth="1"/>
    <col min="12" max="12" width="12.1640625" bestFit="1" customWidth="1"/>
    <col min="13" max="13" width="27.83203125" bestFit="1" customWidth="1"/>
  </cols>
  <sheetData>
    <row r="1" spans="1:13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33</v>
      </c>
    </row>
    <row r="2" spans="1:13" x14ac:dyDescent="0.2">
      <c r="A2" t="s">
        <v>18</v>
      </c>
      <c r="B2">
        <v>500.87</v>
      </c>
      <c r="C2">
        <v>258.52999999999997</v>
      </c>
      <c r="D2">
        <v>1.87</v>
      </c>
      <c r="E2">
        <v>3.3</v>
      </c>
      <c r="F2">
        <v>72.92</v>
      </c>
      <c r="G2">
        <v>1261.3</v>
      </c>
      <c r="H2">
        <v>8.541E-4</v>
      </c>
      <c r="I2">
        <v>5.1228999999999999E-4</v>
      </c>
      <c r="J2">
        <v>5.1229300000000004E-3</v>
      </c>
      <c r="K2">
        <v>6.4036600000000003E-3</v>
      </c>
      <c r="L2" s="27">
        <v>665000000000</v>
      </c>
      <c r="M2">
        <f>C2/$C$11</f>
        <v>0.97111411614454191</v>
      </c>
    </row>
    <row r="3" spans="1:13" x14ac:dyDescent="0.2">
      <c r="A3" t="s">
        <v>19</v>
      </c>
      <c r="B3">
        <v>452.85</v>
      </c>
      <c r="C3">
        <v>285.94</v>
      </c>
      <c r="D3">
        <v>1.87</v>
      </c>
      <c r="E3">
        <v>3.06</v>
      </c>
      <c r="F3">
        <v>83.36</v>
      </c>
      <c r="G3">
        <v>1200.45</v>
      </c>
      <c r="H3">
        <v>1.57697E-3</v>
      </c>
      <c r="I3">
        <v>9.4587999999999996E-4</v>
      </c>
      <c r="J3">
        <v>9.4587500000000001E-3</v>
      </c>
      <c r="K3">
        <v>1.1823439999999999E-2</v>
      </c>
      <c r="L3" s="27">
        <v>423000000000</v>
      </c>
      <c r="M3">
        <f t="shared" ref="M3:M12" si="0">C3/$C$11</f>
        <v>1.074074074074074</v>
      </c>
    </row>
    <row r="4" spans="1:13" x14ac:dyDescent="0.2">
      <c r="A4" t="s">
        <v>20</v>
      </c>
      <c r="B4">
        <v>446</v>
      </c>
      <c r="C4">
        <v>290.33</v>
      </c>
      <c r="D4">
        <v>1.85</v>
      </c>
      <c r="E4">
        <v>2.2400000000000002</v>
      </c>
      <c r="F4">
        <v>60.31</v>
      </c>
      <c r="G4">
        <v>1225.22</v>
      </c>
      <c r="H4">
        <v>1.2068199999999999E-3</v>
      </c>
      <c r="I4">
        <v>7.2386E-4</v>
      </c>
      <c r="J4">
        <v>7.2385899999999996E-3</v>
      </c>
      <c r="K4">
        <v>9.0482400000000008E-3</v>
      </c>
      <c r="L4" s="27">
        <v>194000000000</v>
      </c>
      <c r="M4">
        <f t="shared" si="0"/>
        <v>1.0905641950266696</v>
      </c>
    </row>
    <row r="5" spans="1:13" x14ac:dyDescent="0.2">
      <c r="A5" t="s">
        <v>21</v>
      </c>
      <c r="B5">
        <v>532.52</v>
      </c>
      <c r="C5">
        <v>243.16</v>
      </c>
      <c r="D5">
        <v>1.88</v>
      </c>
      <c r="E5">
        <v>2.0699999999999998</v>
      </c>
      <c r="F5">
        <v>74.099999999999994</v>
      </c>
      <c r="G5">
        <v>1563.23</v>
      </c>
      <c r="H5">
        <v>1.4160100000000001E-3</v>
      </c>
      <c r="I5">
        <v>8.4933000000000003E-4</v>
      </c>
      <c r="J5">
        <v>8.4932700000000007E-3</v>
      </c>
      <c r="K5">
        <v>1.061658E-2</v>
      </c>
      <c r="L5" s="27">
        <v>199000000000</v>
      </c>
      <c r="M5">
        <f t="shared" si="0"/>
        <v>0.91337991135151364</v>
      </c>
    </row>
    <row r="6" spans="1:13" x14ac:dyDescent="0.2">
      <c r="A6" t="s">
        <v>22</v>
      </c>
      <c r="B6">
        <v>530.12</v>
      </c>
      <c r="C6">
        <v>244.26</v>
      </c>
      <c r="D6">
        <v>1.34</v>
      </c>
      <c r="E6">
        <v>2.14</v>
      </c>
      <c r="F6">
        <v>84.82</v>
      </c>
      <c r="G6">
        <v>1637.58</v>
      </c>
      <c r="H6">
        <v>6.0829999999999999E-4</v>
      </c>
      <c r="I6">
        <v>3.6486E-4</v>
      </c>
      <c r="J6">
        <v>3.6486399999999999E-3</v>
      </c>
      <c r="K6">
        <v>4.5608000000000003E-3</v>
      </c>
      <c r="L6">
        <v>62606895000</v>
      </c>
      <c r="M6">
        <f t="shared" si="0"/>
        <v>0.91751183231913447</v>
      </c>
    </row>
    <row r="7" spans="1:13" x14ac:dyDescent="0.2">
      <c r="A7" t="s">
        <v>23</v>
      </c>
      <c r="B7">
        <v>565.97</v>
      </c>
      <c r="C7">
        <v>228.79</v>
      </c>
      <c r="D7">
        <v>1.1499999999999999</v>
      </c>
      <c r="E7">
        <v>2.2599999999999998</v>
      </c>
      <c r="F7">
        <v>87.74</v>
      </c>
      <c r="G7">
        <v>1805.76</v>
      </c>
      <c r="H7">
        <v>1.2781699999999999E-3</v>
      </c>
      <c r="I7">
        <v>7.6665000000000001E-4</v>
      </c>
      <c r="J7">
        <v>7.6664999999999997E-3</v>
      </c>
      <c r="K7">
        <v>9.5831300000000005E-3</v>
      </c>
      <c r="L7">
        <v>37543599962</v>
      </c>
      <c r="M7">
        <f t="shared" si="0"/>
        <v>0.85940199834723152</v>
      </c>
    </row>
    <row r="8" spans="1:13" x14ac:dyDescent="0.2">
      <c r="A8" t="s">
        <v>24</v>
      </c>
      <c r="B8">
        <v>518.16999999999996</v>
      </c>
      <c r="C8">
        <v>249.89</v>
      </c>
      <c r="D8">
        <v>1.21</v>
      </c>
      <c r="E8">
        <v>2.5499999999999998</v>
      </c>
      <c r="F8">
        <v>82.91</v>
      </c>
      <c r="G8">
        <v>1477.32</v>
      </c>
      <c r="H8">
        <v>1.2250200000000001E-3</v>
      </c>
      <c r="I8">
        <v>7.3477000000000004E-4</v>
      </c>
      <c r="J8">
        <v>7.3477300000000002E-3</v>
      </c>
      <c r="K8">
        <v>9.1846600000000007E-3</v>
      </c>
      <c r="L8">
        <v>32625112000</v>
      </c>
      <c r="M8">
        <f t="shared" si="0"/>
        <v>0.93865975508977517</v>
      </c>
    </row>
    <row r="9" spans="1:13" x14ac:dyDescent="0.2">
      <c r="A9" t="s">
        <v>25</v>
      </c>
      <c r="B9">
        <v>506.46</v>
      </c>
      <c r="C9">
        <v>255.9</v>
      </c>
      <c r="D9">
        <v>1.79</v>
      </c>
      <c r="E9">
        <v>3.15</v>
      </c>
      <c r="F9">
        <v>74.62</v>
      </c>
      <c r="G9">
        <v>1318.8</v>
      </c>
      <c r="H9">
        <v>8.7673999999999998E-4</v>
      </c>
      <c r="I9">
        <v>5.2587E-4</v>
      </c>
      <c r="J9">
        <v>5.2587099999999998E-3</v>
      </c>
      <c r="K9">
        <v>6.5733900000000001E-3</v>
      </c>
      <c r="L9" s="26" t="s">
        <v>26</v>
      </c>
      <c r="M9">
        <f t="shared" si="0"/>
        <v>0.96123506874013964</v>
      </c>
    </row>
    <row r="10" spans="1:13" x14ac:dyDescent="0.2">
      <c r="A10" t="s">
        <v>27</v>
      </c>
      <c r="B10">
        <v>492</v>
      </c>
      <c r="C10">
        <v>265.17</v>
      </c>
      <c r="D10">
        <v>1.82</v>
      </c>
      <c r="E10">
        <v>2.1800000000000002</v>
      </c>
      <c r="F10">
        <v>68.489999999999995</v>
      </c>
      <c r="G10">
        <v>1402.64</v>
      </c>
      <c r="H10">
        <v>1.3060700000000001E-3</v>
      </c>
      <c r="I10">
        <v>7.8337999999999997E-4</v>
      </c>
      <c r="J10">
        <v>7.8338399999999999E-3</v>
      </c>
      <c r="K10">
        <v>9.7923000000000003E-3</v>
      </c>
      <c r="L10" s="26" t="s">
        <v>28</v>
      </c>
      <c r="M10">
        <f t="shared" si="0"/>
        <v>0.99605589362181646</v>
      </c>
    </row>
    <row r="11" spans="1:13" x14ac:dyDescent="0.2">
      <c r="A11" t="s">
        <v>29</v>
      </c>
      <c r="B11">
        <v>488.59</v>
      </c>
      <c r="C11">
        <v>266.22000000000003</v>
      </c>
      <c r="D11">
        <v>1.82</v>
      </c>
      <c r="E11">
        <v>2.87</v>
      </c>
      <c r="F11">
        <v>75.3</v>
      </c>
      <c r="G11">
        <v>1309.8800000000001</v>
      </c>
      <c r="H11">
        <v>1.1736400000000001E-3</v>
      </c>
      <c r="I11">
        <v>7.0394999999999995E-4</v>
      </c>
      <c r="J11">
        <v>7.0395299999999996E-3</v>
      </c>
      <c r="K11">
        <v>8.7994200000000005E-3</v>
      </c>
      <c r="L11" s="26" t="s">
        <v>30</v>
      </c>
      <c r="M11">
        <f t="shared" si="0"/>
        <v>1</v>
      </c>
    </row>
    <row r="12" spans="1:13" x14ac:dyDescent="0.2">
      <c r="A12" t="s">
        <v>31</v>
      </c>
      <c r="B12">
        <v>489.56</v>
      </c>
      <c r="C12">
        <v>265.13</v>
      </c>
      <c r="D12">
        <v>1.84</v>
      </c>
      <c r="E12">
        <v>3.04</v>
      </c>
      <c r="F12">
        <v>70.540000000000006</v>
      </c>
      <c r="G12">
        <v>1261.3499999999999</v>
      </c>
      <c r="H12">
        <v>7.5234E-4</v>
      </c>
      <c r="I12">
        <v>4.5125999999999999E-4</v>
      </c>
      <c r="J12">
        <v>4.5125800000000004E-3</v>
      </c>
      <c r="K12">
        <v>5.6407200000000001E-3</v>
      </c>
      <c r="L12" s="26" t="s">
        <v>32</v>
      </c>
      <c r="M12">
        <f t="shared" si="0"/>
        <v>0.99590564195026654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29FA-4E2E-6041-84F0-91A93631AF8C}">
  <dimension ref="A1:B52"/>
  <sheetViews>
    <sheetView zoomScale="143" workbookViewId="0">
      <selection activeCell="E23" sqref="E23"/>
    </sheetView>
  </sheetViews>
  <sheetFormatPr baseColWidth="10" defaultRowHeight="16" x14ac:dyDescent="0.2"/>
  <sheetData>
    <row r="1" spans="1:2" x14ac:dyDescent="0.2">
      <c r="A1" t="s">
        <v>34</v>
      </c>
      <c r="B1" t="s">
        <v>35</v>
      </c>
    </row>
    <row r="2" spans="1:2" x14ac:dyDescent="0.2">
      <c r="A2" s="28" t="s">
        <v>36</v>
      </c>
      <c r="B2">
        <v>0</v>
      </c>
    </row>
    <row r="3" spans="1:2" x14ac:dyDescent="0.2">
      <c r="A3" s="28" t="s">
        <v>37</v>
      </c>
      <c r="B3">
        <v>7</v>
      </c>
    </row>
    <row r="4" spans="1:2" x14ac:dyDescent="0.2">
      <c r="A4" s="28" t="s">
        <v>38</v>
      </c>
      <c r="B4">
        <v>2</v>
      </c>
    </row>
    <row r="5" spans="1:2" x14ac:dyDescent="0.2">
      <c r="A5" s="28" t="s">
        <v>39</v>
      </c>
      <c r="B5">
        <v>8</v>
      </c>
    </row>
    <row r="6" spans="1:2" x14ac:dyDescent="0.2">
      <c r="A6" s="28" t="s">
        <v>40</v>
      </c>
      <c r="B6">
        <v>1</v>
      </c>
    </row>
    <row r="7" spans="1:2" x14ac:dyDescent="0.2">
      <c r="A7" s="28" t="s">
        <v>41</v>
      </c>
      <c r="B7">
        <v>8</v>
      </c>
    </row>
    <row r="8" spans="1:2" x14ac:dyDescent="0.2">
      <c r="A8" s="28" t="s">
        <v>42</v>
      </c>
      <c r="B8">
        <v>4</v>
      </c>
    </row>
    <row r="9" spans="1:2" x14ac:dyDescent="0.2">
      <c r="A9" s="28" t="s">
        <v>43</v>
      </c>
      <c r="B9">
        <v>3</v>
      </c>
    </row>
    <row r="10" spans="1:2" x14ac:dyDescent="0.2">
      <c r="A10" s="28" t="s">
        <v>44</v>
      </c>
      <c r="B10">
        <v>3</v>
      </c>
    </row>
    <row r="11" spans="1:2" x14ac:dyDescent="0.2">
      <c r="A11" s="28" t="s">
        <v>45</v>
      </c>
      <c r="B11">
        <v>7</v>
      </c>
    </row>
    <row r="12" spans="1:2" x14ac:dyDescent="0.2">
      <c r="A12" s="28" t="s">
        <v>46</v>
      </c>
      <c r="B12">
        <v>7</v>
      </c>
    </row>
    <row r="13" spans="1:2" x14ac:dyDescent="0.2">
      <c r="A13" s="28" t="s">
        <v>47</v>
      </c>
      <c r="B13">
        <v>0</v>
      </c>
    </row>
    <row r="14" spans="1:2" x14ac:dyDescent="0.2">
      <c r="A14" s="28" t="s">
        <v>48</v>
      </c>
      <c r="B14">
        <v>5</v>
      </c>
    </row>
    <row r="15" spans="1:2" x14ac:dyDescent="0.2">
      <c r="A15" s="28" t="s">
        <v>49</v>
      </c>
      <c r="B15">
        <v>6</v>
      </c>
    </row>
    <row r="16" spans="1:2" x14ac:dyDescent="0.2">
      <c r="A16" s="28" t="s">
        <v>50</v>
      </c>
      <c r="B16">
        <v>5</v>
      </c>
    </row>
    <row r="17" spans="1:2" x14ac:dyDescent="0.2">
      <c r="A17" s="28" t="s">
        <v>51</v>
      </c>
      <c r="B17">
        <v>5</v>
      </c>
    </row>
    <row r="18" spans="1:2" x14ac:dyDescent="0.2">
      <c r="A18" s="28" t="s">
        <v>52</v>
      </c>
      <c r="B18">
        <v>2</v>
      </c>
    </row>
    <row r="19" spans="1:2" x14ac:dyDescent="0.2">
      <c r="A19" s="28" t="s">
        <v>53</v>
      </c>
      <c r="B19">
        <v>7</v>
      </c>
    </row>
    <row r="20" spans="1:2" x14ac:dyDescent="0.2">
      <c r="A20" s="28" t="s">
        <v>54</v>
      </c>
      <c r="B20">
        <v>2</v>
      </c>
    </row>
    <row r="21" spans="1:2" x14ac:dyDescent="0.2">
      <c r="A21" s="28" t="s">
        <v>55</v>
      </c>
      <c r="B21">
        <v>4</v>
      </c>
    </row>
    <row r="22" spans="1:2" x14ac:dyDescent="0.2">
      <c r="A22" s="28" t="s">
        <v>56</v>
      </c>
      <c r="B22">
        <v>3</v>
      </c>
    </row>
    <row r="23" spans="1:2" x14ac:dyDescent="0.2">
      <c r="A23" s="28" t="s">
        <v>57</v>
      </c>
      <c r="B23">
        <v>4</v>
      </c>
    </row>
    <row r="24" spans="1:2" x14ac:dyDescent="0.2">
      <c r="A24" s="28" t="s">
        <v>58</v>
      </c>
      <c r="B24">
        <v>5</v>
      </c>
    </row>
    <row r="25" spans="1:2" x14ac:dyDescent="0.2">
      <c r="A25" s="28" t="s">
        <v>59</v>
      </c>
      <c r="B25">
        <v>5</v>
      </c>
    </row>
    <row r="26" spans="1:2" x14ac:dyDescent="0.2">
      <c r="A26" s="28" t="s">
        <v>60</v>
      </c>
      <c r="B26">
        <v>2</v>
      </c>
    </row>
    <row r="27" spans="1:2" x14ac:dyDescent="0.2">
      <c r="A27" s="28" t="s">
        <v>61</v>
      </c>
      <c r="B27">
        <v>7</v>
      </c>
    </row>
    <row r="28" spans="1:2" x14ac:dyDescent="0.2">
      <c r="A28" s="28" t="s">
        <v>62</v>
      </c>
      <c r="B28">
        <v>6</v>
      </c>
    </row>
    <row r="29" spans="1:2" x14ac:dyDescent="0.2">
      <c r="A29" s="28" t="s">
        <v>63</v>
      </c>
      <c r="B29">
        <v>7</v>
      </c>
    </row>
    <row r="30" spans="1:2" x14ac:dyDescent="0.2">
      <c r="A30" s="28" t="s">
        <v>64</v>
      </c>
      <c r="B30">
        <v>5</v>
      </c>
    </row>
    <row r="31" spans="1:2" x14ac:dyDescent="0.2">
      <c r="A31" s="28" t="s">
        <v>65</v>
      </c>
      <c r="B31">
        <v>2</v>
      </c>
    </row>
    <row r="32" spans="1:2" x14ac:dyDescent="0.2">
      <c r="A32" s="28" t="s">
        <v>66</v>
      </c>
      <c r="B32">
        <v>4</v>
      </c>
    </row>
    <row r="33" spans="1:2" x14ac:dyDescent="0.2">
      <c r="A33" s="28" t="s">
        <v>67</v>
      </c>
      <c r="B33">
        <v>3</v>
      </c>
    </row>
    <row r="34" spans="1:2" x14ac:dyDescent="0.2">
      <c r="A34" s="28" t="s">
        <v>68</v>
      </c>
      <c r="B34">
        <v>8</v>
      </c>
    </row>
    <row r="35" spans="1:2" x14ac:dyDescent="0.2">
      <c r="A35" s="28" t="s">
        <v>69</v>
      </c>
      <c r="B35">
        <v>8</v>
      </c>
    </row>
    <row r="36" spans="1:2" x14ac:dyDescent="0.2">
      <c r="A36" s="28" t="s">
        <v>70</v>
      </c>
      <c r="B36">
        <v>4</v>
      </c>
    </row>
    <row r="37" spans="1:2" x14ac:dyDescent="0.2">
      <c r="A37" s="28" t="s">
        <v>71</v>
      </c>
      <c r="B37">
        <v>3</v>
      </c>
    </row>
    <row r="38" spans="1:2" x14ac:dyDescent="0.2">
      <c r="A38" s="28" t="s">
        <v>72</v>
      </c>
      <c r="B38">
        <v>2</v>
      </c>
    </row>
    <row r="39" spans="1:2" x14ac:dyDescent="0.2">
      <c r="A39" s="28" t="s">
        <v>73</v>
      </c>
      <c r="B39">
        <v>6</v>
      </c>
    </row>
    <row r="40" spans="1:2" x14ac:dyDescent="0.2">
      <c r="A40" s="28" t="s">
        <v>74</v>
      </c>
      <c r="B40">
        <v>3</v>
      </c>
    </row>
    <row r="41" spans="1:2" x14ac:dyDescent="0.2">
      <c r="A41" s="28" t="s">
        <v>75</v>
      </c>
      <c r="B41">
        <v>4</v>
      </c>
    </row>
    <row r="42" spans="1:2" x14ac:dyDescent="0.2">
      <c r="A42" s="28" t="s">
        <v>76</v>
      </c>
      <c r="B42">
        <v>7</v>
      </c>
    </row>
    <row r="43" spans="1:2" x14ac:dyDescent="0.2">
      <c r="A43" s="28" t="s">
        <v>77</v>
      </c>
      <c r="B43">
        <v>2</v>
      </c>
    </row>
    <row r="44" spans="1:2" x14ac:dyDescent="0.2">
      <c r="A44" s="28" t="s">
        <v>78</v>
      </c>
      <c r="B44">
        <v>7</v>
      </c>
    </row>
    <row r="45" spans="1:2" x14ac:dyDescent="0.2">
      <c r="A45" s="28" t="s">
        <v>79</v>
      </c>
      <c r="B45">
        <v>9</v>
      </c>
    </row>
    <row r="46" spans="1:2" x14ac:dyDescent="0.2">
      <c r="A46" s="28" t="s">
        <v>80</v>
      </c>
      <c r="B46">
        <v>8</v>
      </c>
    </row>
    <row r="47" spans="1:2" x14ac:dyDescent="0.2">
      <c r="A47" s="28" t="s">
        <v>81</v>
      </c>
      <c r="B47">
        <v>3</v>
      </c>
    </row>
    <row r="48" spans="1:2" x14ac:dyDescent="0.2">
      <c r="A48" s="28" t="s">
        <v>82</v>
      </c>
      <c r="B48">
        <v>4</v>
      </c>
    </row>
    <row r="49" spans="1:2" x14ac:dyDescent="0.2">
      <c r="A49" s="28" t="s">
        <v>83</v>
      </c>
      <c r="B49">
        <v>6</v>
      </c>
    </row>
    <row r="50" spans="1:2" x14ac:dyDescent="0.2">
      <c r="A50" s="28" t="s">
        <v>84</v>
      </c>
      <c r="B50">
        <v>5</v>
      </c>
    </row>
    <row r="51" spans="1:2" x14ac:dyDescent="0.2">
      <c r="A51" s="28" t="s">
        <v>85</v>
      </c>
      <c r="B51">
        <v>3</v>
      </c>
    </row>
    <row r="52" spans="1:2" x14ac:dyDescent="0.2">
      <c r="A52" s="28" t="s">
        <v>86</v>
      </c>
      <c r="B52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9226-7435-A940-9C6E-7B8640D3F019}">
  <dimension ref="A1:I56"/>
  <sheetViews>
    <sheetView tabSelected="1" workbookViewId="0"/>
  </sheetViews>
  <sheetFormatPr baseColWidth="10" defaultRowHeight="16" x14ac:dyDescent="0.2"/>
  <cols>
    <col min="1" max="1" width="10.1640625" bestFit="1" customWidth="1"/>
    <col min="2" max="2" width="19.33203125" bestFit="1" customWidth="1"/>
    <col min="3" max="3" width="20.33203125" bestFit="1" customWidth="1"/>
    <col min="4" max="4" width="19.33203125" bestFit="1" customWidth="1"/>
    <col min="5" max="5" width="20.33203125" bestFit="1" customWidth="1"/>
    <col min="6" max="6" width="19.33203125" bestFit="1" customWidth="1"/>
    <col min="7" max="7" width="20.33203125" bestFit="1" customWidth="1"/>
    <col min="8" max="8" width="19.33203125" bestFit="1" customWidth="1"/>
    <col min="9" max="9" width="20.33203125" bestFit="1" customWidth="1"/>
    <col min="10" max="10" width="17.6640625" bestFit="1" customWidth="1"/>
  </cols>
  <sheetData>
    <row r="1" spans="1:9" x14ac:dyDescent="0.2">
      <c r="A1" s="37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2">
      <c r="A2" t="s">
        <v>102</v>
      </c>
      <c r="B2">
        <v>281.95775108325603</v>
      </c>
      <c r="C2">
        <v>0</v>
      </c>
      <c r="D2">
        <v>194.144629302483</v>
      </c>
      <c r="E2">
        <v>32.277965559693897</v>
      </c>
      <c r="F2">
        <v>148.184976893613</v>
      </c>
      <c r="G2">
        <v>49.465778467430503</v>
      </c>
      <c r="H2">
        <v>0</v>
      </c>
      <c r="I2">
        <v>106.37993213333</v>
      </c>
    </row>
    <row r="3" spans="1:9" x14ac:dyDescent="0.2">
      <c r="A3" t="s">
        <v>103</v>
      </c>
      <c r="B3">
        <v>393.52794855088899</v>
      </c>
      <c r="C3">
        <v>0</v>
      </c>
      <c r="D3">
        <v>277.437029244678</v>
      </c>
      <c r="E3">
        <v>38.501842165965201</v>
      </c>
      <c r="F3">
        <v>211.72377575699699</v>
      </c>
      <c r="G3">
        <v>59.400713313157702</v>
      </c>
      <c r="H3">
        <v>0</v>
      </c>
      <c r="I3">
        <v>128.361485400032</v>
      </c>
    </row>
    <row r="4" spans="1:9" x14ac:dyDescent="0.2">
      <c r="A4" t="s">
        <v>105</v>
      </c>
      <c r="B4">
        <v>301.63244675621098</v>
      </c>
      <c r="C4">
        <v>0</v>
      </c>
      <c r="D4">
        <v>211.27451254527301</v>
      </c>
      <c r="E4">
        <v>35.090885117252597</v>
      </c>
      <c r="F4">
        <v>162.948301114228</v>
      </c>
      <c r="G4">
        <v>54.282379422073198</v>
      </c>
      <c r="H4">
        <v>0</v>
      </c>
      <c r="I4">
        <v>124.026384058934</v>
      </c>
    </row>
    <row r="5" spans="1:9" x14ac:dyDescent="0.2">
      <c r="A5" t="s">
        <v>104</v>
      </c>
      <c r="B5">
        <v>293.58939449337299</v>
      </c>
      <c r="C5">
        <v>0</v>
      </c>
      <c r="D5">
        <v>207.95703890771699</v>
      </c>
      <c r="E5">
        <v>35.835254654587303</v>
      </c>
      <c r="F5">
        <v>161.15215299761701</v>
      </c>
      <c r="G5">
        <v>55.583257714739801</v>
      </c>
      <c r="H5">
        <v>0</v>
      </c>
      <c r="I5">
        <v>124.70862609049</v>
      </c>
    </row>
    <row r="6" spans="1:9" x14ac:dyDescent="0.2">
      <c r="A6" t="s">
        <v>106</v>
      </c>
      <c r="B6">
        <v>246.435928927916</v>
      </c>
      <c r="C6">
        <v>0</v>
      </c>
      <c r="D6">
        <v>169.20412331615401</v>
      </c>
      <c r="E6">
        <v>30.2930007704487</v>
      </c>
      <c r="F6">
        <v>129.18583471044099</v>
      </c>
      <c r="G6">
        <v>46.2747085758661</v>
      </c>
      <c r="H6">
        <v>0</v>
      </c>
      <c r="I6">
        <v>97.893077352293304</v>
      </c>
    </row>
    <row r="7" spans="1:9" x14ac:dyDescent="0.2">
      <c r="A7" t="s">
        <v>107</v>
      </c>
      <c r="B7">
        <v>262.23174427823801</v>
      </c>
      <c r="C7">
        <v>0</v>
      </c>
      <c r="D7">
        <v>181.578916493306</v>
      </c>
      <c r="E7">
        <v>32.440852016030497</v>
      </c>
      <c r="F7">
        <v>138.748780004602</v>
      </c>
      <c r="G7">
        <v>49.595451090118502</v>
      </c>
      <c r="H7">
        <v>0</v>
      </c>
      <c r="I7">
        <v>105.859022899252</v>
      </c>
    </row>
    <row r="8" spans="1:9" x14ac:dyDescent="0.2">
      <c r="A8" t="s">
        <v>108</v>
      </c>
      <c r="B8">
        <v>286.20731232971798</v>
      </c>
      <c r="C8">
        <v>0</v>
      </c>
      <c r="D8">
        <v>200.73339225049801</v>
      </c>
      <c r="E8">
        <v>35.225019460439597</v>
      </c>
      <c r="F8">
        <v>153.30586880188201</v>
      </c>
      <c r="G8">
        <v>53.907277167491102</v>
      </c>
      <c r="H8">
        <v>0</v>
      </c>
      <c r="I8">
        <v>121.62004921587</v>
      </c>
    </row>
    <row r="9" spans="1:9" x14ac:dyDescent="0.2">
      <c r="A9" t="s">
        <v>109</v>
      </c>
      <c r="B9">
        <v>293.08584746435099</v>
      </c>
      <c r="C9">
        <v>0</v>
      </c>
      <c r="D9">
        <v>206.77998480266001</v>
      </c>
      <c r="E9">
        <v>35.932203505865999</v>
      </c>
      <c r="F9">
        <v>160.31383422073401</v>
      </c>
      <c r="G9">
        <v>55.786256573173397</v>
      </c>
      <c r="H9">
        <v>0</v>
      </c>
      <c r="I9">
        <v>124.90987472664</v>
      </c>
    </row>
    <row r="10" spans="1:9" x14ac:dyDescent="0.2">
      <c r="A10" t="s">
        <v>110</v>
      </c>
      <c r="B10">
        <v>272.59818700378202</v>
      </c>
      <c r="C10">
        <v>0</v>
      </c>
      <c r="D10">
        <v>190.00113691172399</v>
      </c>
      <c r="E10">
        <v>33.686412513927799</v>
      </c>
      <c r="F10">
        <v>145.58607451692799</v>
      </c>
      <c r="G10">
        <v>51.651547605630199</v>
      </c>
      <c r="H10">
        <v>0</v>
      </c>
      <c r="I10">
        <v>113.750102014856</v>
      </c>
    </row>
    <row r="11" spans="1:9" x14ac:dyDescent="0.2">
      <c r="A11" t="s">
        <v>111</v>
      </c>
      <c r="B11">
        <v>313.82607846373298</v>
      </c>
      <c r="C11">
        <v>0</v>
      </c>
      <c r="D11">
        <v>223.97944611285899</v>
      </c>
      <c r="E11">
        <v>37.321605349001601</v>
      </c>
      <c r="F11">
        <v>172.48413681153599</v>
      </c>
      <c r="G11">
        <v>57.618227700960297</v>
      </c>
      <c r="H11">
        <v>0</v>
      </c>
      <c r="I11">
        <v>127.46492999614</v>
      </c>
    </row>
    <row r="12" spans="1:9" x14ac:dyDescent="0.2">
      <c r="A12" s="26" t="s">
        <v>112</v>
      </c>
      <c r="B12">
        <f>AVERAGE(B$2,B3)</f>
        <v>337.74284981707251</v>
      </c>
      <c r="C12">
        <f t="shared" ref="C12:H12" si="0">AVERAGE(C$2,C3)</f>
        <v>0</v>
      </c>
      <c r="D12">
        <f t="shared" si="0"/>
        <v>235.7908292735805</v>
      </c>
      <c r="E12">
        <f t="shared" si="0"/>
        <v>35.389903862829549</v>
      </c>
      <c r="F12">
        <f t="shared" si="0"/>
        <v>179.95437632530499</v>
      </c>
      <c r="G12">
        <f t="shared" si="0"/>
        <v>54.433245890294103</v>
      </c>
      <c r="H12">
        <f t="shared" si="0"/>
        <v>0</v>
      </c>
      <c r="I12">
        <f>AVERAGE(I$2,I3)</f>
        <v>117.37070876668099</v>
      </c>
    </row>
    <row r="13" spans="1:9" x14ac:dyDescent="0.2">
      <c r="A13" s="26" t="s">
        <v>114</v>
      </c>
      <c r="B13">
        <f t="shared" ref="B13:H20" si="1">AVERAGE(B$2,B4)</f>
        <v>291.7950989197335</v>
      </c>
      <c r="C13">
        <f t="shared" si="1"/>
        <v>0</v>
      </c>
      <c r="D13">
        <f t="shared" si="1"/>
        <v>202.709570923878</v>
      </c>
      <c r="E13">
        <f t="shared" si="1"/>
        <v>33.684425338473247</v>
      </c>
      <c r="F13">
        <f t="shared" si="1"/>
        <v>155.5666390039205</v>
      </c>
      <c r="G13">
        <f t="shared" si="1"/>
        <v>51.874078944751851</v>
      </c>
      <c r="H13">
        <f t="shared" si="1"/>
        <v>0</v>
      </c>
      <c r="I13">
        <f t="shared" ref="I13" si="2">AVERAGE(I$2,I4)</f>
        <v>115.203158096132</v>
      </c>
    </row>
    <row r="14" spans="1:9" x14ac:dyDescent="0.2">
      <c r="A14" s="26" t="s">
        <v>113</v>
      </c>
      <c r="B14">
        <f t="shared" si="1"/>
        <v>287.77357278831448</v>
      </c>
      <c r="C14">
        <f t="shared" si="1"/>
        <v>0</v>
      </c>
      <c r="D14">
        <f t="shared" si="1"/>
        <v>201.05083410509999</v>
      </c>
      <c r="E14">
        <f t="shared" si="1"/>
        <v>34.0566101071406</v>
      </c>
      <c r="F14">
        <f t="shared" si="1"/>
        <v>154.668564945615</v>
      </c>
      <c r="G14">
        <f t="shared" si="1"/>
        <v>52.524518091085156</v>
      </c>
      <c r="H14">
        <f t="shared" si="1"/>
        <v>0</v>
      </c>
      <c r="I14">
        <f t="shared" ref="I14" si="3">AVERAGE(I$2,I5)</f>
        <v>115.54427911191</v>
      </c>
    </row>
    <row r="15" spans="1:9" x14ac:dyDescent="0.2">
      <c r="A15" s="26" t="s">
        <v>115</v>
      </c>
      <c r="B15">
        <f t="shared" si="1"/>
        <v>264.19684000558601</v>
      </c>
      <c r="C15">
        <f t="shared" si="1"/>
        <v>0</v>
      </c>
      <c r="D15">
        <f t="shared" si="1"/>
        <v>181.67437630931852</v>
      </c>
      <c r="E15">
        <f t="shared" si="1"/>
        <v>31.285483165071298</v>
      </c>
      <c r="F15">
        <f t="shared" si="1"/>
        <v>138.68540580202699</v>
      </c>
      <c r="G15">
        <f t="shared" si="1"/>
        <v>47.870243521648305</v>
      </c>
      <c r="H15">
        <f t="shared" si="1"/>
        <v>0</v>
      </c>
      <c r="I15">
        <f t="shared" ref="I15" si="4">AVERAGE(I$2,I6)</f>
        <v>102.13650474281165</v>
      </c>
    </row>
    <row r="16" spans="1:9" x14ac:dyDescent="0.2">
      <c r="A16" s="26" t="s">
        <v>116</v>
      </c>
      <c r="B16">
        <f t="shared" si="1"/>
        <v>272.09474768074699</v>
      </c>
      <c r="C16">
        <f t="shared" si="1"/>
        <v>0</v>
      </c>
      <c r="D16">
        <f t="shared" si="1"/>
        <v>187.8617728978945</v>
      </c>
      <c r="E16">
        <f t="shared" si="1"/>
        <v>32.359408787862193</v>
      </c>
      <c r="F16">
        <f t="shared" si="1"/>
        <v>143.4668784491075</v>
      </c>
      <c r="G16">
        <f t="shared" si="1"/>
        <v>49.530614778774506</v>
      </c>
      <c r="H16">
        <f t="shared" si="1"/>
        <v>0</v>
      </c>
      <c r="I16">
        <f t="shared" ref="I16" si="5">AVERAGE(I$2,I7)</f>
        <v>106.119477516291</v>
      </c>
    </row>
    <row r="17" spans="1:9" x14ac:dyDescent="0.2">
      <c r="A17" s="26" t="s">
        <v>117</v>
      </c>
      <c r="B17">
        <f t="shared" si="1"/>
        <v>284.08253170648698</v>
      </c>
      <c r="C17">
        <f t="shared" si="1"/>
        <v>0</v>
      </c>
      <c r="D17">
        <f t="shared" si="1"/>
        <v>197.43901077649051</v>
      </c>
      <c r="E17">
        <f t="shared" si="1"/>
        <v>33.751492510066747</v>
      </c>
      <c r="F17">
        <f t="shared" si="1"/>
        <v>150.74542284774751</v>
      </c>
      <c r="G17">
        <f t="shared" si="1"/>
        <v>51.686527817460799</v>
      </c>
      <c r="H17">
        <f t="shared" si="1"/>
        <v>0</v>
      </c>
      <c r="I17">
        <f t="shared" ref="I17" si="6">AVERAGE(I$2,I8)</f>
        <v>113.9999906746</v>
      </c>
    </row>
    <row r="18" spans="1:9" x14ac:dyDescent="0.2">
      <c r="A18" s="26" t="s">
        <v>118</v>
      </c>
      <c r="B18">
        <f t="shared" si="1"/>
        <v>287.52179927380348</v>
      </c>
      <c r="C18">
        <f t="shared" si="1"/>
        <v>0</v>
      </c>
      <c r="D18">
        <f t="shared" si="1"/>
        <v>200.4623070525715</v>
      </c>
      <c r="E18">
        <f t="shared" si="1"/>
        <v>34.105084532779948</v>
      </c>
      <c r="F18">
        <f t="shared" si="1"/>
        <v>154.2494055571735</v>
      </c>
      <c r="G18">
        <f t="shared" si="1"/>
        <v>52.62601752030195</v>
      </c>
      <c r="H18">
        <f t="shared" si="1"/>
        <v>0</v>
      </c>
      <c r="I18">
        <f t="shared" ref="I18" si="7">AVERAGE(I$2,I9)</f>
        <v>115.64490342998499</v>
      </c>
    </row>
    <row r="19" spans="1:9" x14ac:dyDescent="0.2">
      <c r="A19" s="26" t="s">
        <v>119</v>
      </c>
      <c r="B19">
        <f t="shared" si="1"/>
        <v>277.27796904351902</v>
      </c>
      <c r="C19">
        <f t="shared" si="1"/>
        <v>0</v>
      </c>
      <c r="D19">
        <f t="shared" si="1"/>
        <v>192.07288310710351</v>
      </c>
      <c r="E19">
        <f t="shared" si="1"/>
        <v>32.982189036810851</v>
      </c>
      <c r="F19">
        <f t="shared" si="1"/>
        <v>146.88552570527048</v>
      </c>
      <c r="G19">
        <f t="shared" si="1"/>
        <v>50.558663036530348</v>
      </c>
      <c r="H19">
        <f t="shared" si="1"/>
        <v>0</v>
      </c>
      <c r="I19">
        <f t="shared" ref="I19" si="8">AVERAGE(I$2,I10)</f>
        <v>110.06501707409299</v>
      </c>
    </row>
    <row r="20" spans="1:9" x14ac:dyDescent="0.2">
      <c r="A20" s="26" t="s">
        <v>120</v>
      </c>
      <c r="B20">
        <f t="shared" si="1"/>
        <v>297.89191477349448</v>
      </c>
      <c r="C20">
        <f t="shared" si="1"/>
        <v>0</v>
      </c>
      <c r="D20">
        <f t="shared" si="1"/>
        <v>209.06203770767098</v>
      </c>
      <c r="E20">
        <f t="shared" si="1"/>
        <v>34.799785454347749</v>
      </c>
      <c r="F20">
        <f t="shared" si="1"/>
        <v>160.33455685257451</v>
      </c>
      <c r="G20">
        <f t="shared" si="1"/>
        <v>53.5420030841954</v>
      </c>
      <c r="H20">
        <f t="shared" si="1"/>
        <v>0</v>
      </c>
      <c r="I20">
        <f t="shared" ref="I20" si="9">AVERAGE(I$2,I11)</f>
        <v>116.92243106473501</v>
      </c>
    </row>
    <row r="21" spans="1:9" x14ac:dyDescent="0.2">
      <c r="A21" t="s">
        <v>121</v>
      </c>
      <c r="B21">
        <f>AVERAGE(B$3,B4)</f>
        <v>347.58019765354999</v>
      </c>
      <c r="C21">
        <f t="shared" ref="C21:H21" si="10">AVERAGE(C$3,C4)</f>
        <v>0</v>
      </c>
      <c r="D21">
        <f t="shared" si="10"/>
        <v>244.35577089497551</v>
      </c>
      <c r="E21">
        <f t="shared" si="10"/>
        <v>36.796363641608899</v>
      </c>
      <c r="F21">
        <f t="shared" si="10"/>
        <v>187.33603843561249</v>
      </c>
      <c r="G21">
        <f t="shared" si="10"/>
        <v>56.84154636761545</v>
      </c>
      <c r="H21">
        <f t="shared" si="10"/>
        <v>0</v>
      </c>
      <c r="I21">
        <f>AVERAGE(I$3,I4)</f>
        <v>126.193934729483</v>
      </c>
    </row>
    <row r="22" spans="1:9" x14ac:dyDescent="0.2">
      <c r="A22" t="s">
        <v>122</v>
      </c>
      <c r="B22">
        <f t="shared" ref="B22:H28" si="11">AVERAGE(B$3,B5)</f>
        <v>343.55867152213102</v>
      </c>
      <c r="C22">
        <f t="shared" si="11"/>
        <v>0</v>
      </c>
      <c r="D22">
        <f t="shared" si="11"/>
        <v>242.6970340761975</v>
      </c>
      <c r="E22">
        <f t="shared" si="11"/>
        <v>37.168548410276252</v>
      </c>
      <c r="F22">
        <f t="shared" si="11"/>
        <v>186.437964377307</v>
      </c>
      <c r="G22">
        <f t="shared" si="11"/>
        <v>57.491985513948748</v>
      </c>
      <c r="H22">
        <f t="shared" si="11"/>
        <v>0</v>
      </c>
      <c r="I22">
        <f t="shared" ref="I22" si="12">AVERAGE(I$3,I5)</f>
        <v>126.53505574526099</v>
      </c>
    </row>
    <row r="23" spans="1:9" x14ac:dyDescent="0.2">
      <c r="A23" t="s">
        <v>123</v>
      </c>
      <c r="B23">
        <f t="shared" si="11"/>
        <v>319.98193873940249</v>
      </c>
      <c r="C23">
        <f t="shared" si="11"/>
        <v>0</v>
      </c>
      <c r="D23">
        <f t="shared" si="11"/>
        <v>223.32057628041599</v>
      </c>
      <c r="E23">
        <f t="shared" si="11"/>
        <v>34.39742146820695</v>
      </c>
      <c r="F23">
        <f t="shared" si="11"/>
        <v>170.45480523371899</v>
      </c>
      <c r="G23">
        <f t="shared" si="11"/>
        <v>52.837710944511898</v>
      </c>
      <c r="H23">
        <f t="shared" si="11"/>
        <v>0</v>
      </c>
      <c r="I23">
        <f t="shared" ref="I23" si="13">AVERAGE(I$3,I6)</f>
        <v>113.12728137616264</v>
      </c>
    </row>
    <row r="24" spans="1:9" x14ac:dyDescent="0.2">
      <c r="A24" t="s">
        <v>124</v>
      </c>
      <c r="B24">
        <f t="shared" si="11"/>
        <v>327.87984641456353</v>
      </c>
      <c r="C24">
        <f t="shared" si="11"/>
        <v>0</v>
      </c>
      <c r="D24">
        <f t="shared" si="11"/>
        <v>229.507972868992</v>
      </c>
      <c r="E24">
        <f t="shared" si="11"/>
        <v>35.471347090997853</v>
      </c>
      <c r="F24">
        <f t="shared" si="11"/>
        <v>175.23627788079949</v>
      </c>
      <c r="G24">
        <f t="shared" si="11"/>
        <v>54.498082201638098</v>
      </c>
      <c r="H24">
        <f t="shared" si="11"/>
        <v>0</v>
      </c>
      <c r="I24">
        <f t="shared" ref="I24" si="14">AVERAGE(I$3,I7)</f>
        <v>117.110254149642</v>
      </c>
    </row>
    <row r="25" spans="1:9" x14ac:dyDescent="0.2">
      <c r="A25" t="s">
        <v>125</v>
      </c>
      <c r="B25">
        <f t="shared" si="11"/>
        <v>339.86763044030351</v>
      </c>
      <c r="C25">
        <f t="shared" si="11"/>
        <v>0</v>
      </c>
      <c r="D25">
        <f t="shared" si="11"/>
        <v>239.08521074758801</v>
      </c>
      <c r="E25">
        <f t="shared" si="11"/>
        <v>36.863430813202399</v>
      </c>
      <c r="F25">
        <f t="shared" si="11"/>
        <v>182.5148222794395</v>
      </c>
      <c r="G25">
        <f t="shared" si="11"/>
        <v>56.653995240324406</v>
      </c>
      <c r="H25">
        <f t="shared" si="11"/>
        <v>0</v>
      </c>
      <c r="I25">
        <f t="shared" ref="I25" si="15">AVERAGE(I$3,I8)</f>
        <v>124.99076730795099</v>
      </c>
    </row>
    <row r="26" spans="1:9" x14ac:dyDescent="0.2">
      <c r="A26" t="s">
        <v>126</v>
      </c>
      <c r="B26">
        <f t="shared" si="11"/>
        <v>343.30689800762002</v>
      </c>
      <c r="C26">
        <f t="shared" si="11"/>
        <v>0</v>
      </c>
      <c r="D26">
        <f t="shared" si="11"/>
        <v>242.10850702366901</v>
      </c>
      <c r="E26">
        <f t="shared" si="11"/>
        <v>37.2170228359156</v>
      </c>
      <c r="F26">
        <f t="shared" si="11"/>
        <v>186.0188049888655</v>
      </c>
      <c r="G26">
        <f t="shared" si="11"/>
        <v>57.593484943165549</v>
      </c>
      <c r="H26">
        <f t="shared" si="11"/>
        <v>0</v>
      </c>
      <c r="I26">
        <f t="shared" ref="I26" si="16">AVERAGE(I$3,I9)</f>
        <v>126.635680063336</v>
      </c>
    </row>
    <row r="27" spans="1:9" x14ac:dyDescent="0.2">
      <c r="A27" t="s">
        <v>127</v>
      </c>
      <c r="B27">
        <f t="shared" si="11"/>
        <v>333.0630677773355</v>
      </c>
      <c r="C27">
        <f t="shared" si="11"/>
        <v>0</v>
      </c>
      <c r="D27">
        <f t="shared" si="11"/>
        <v>233.71908307820098</v>
      </c>
      <c r="E27">
        <f t="shared" si="11"/>
        <v>36.094127339946496</v>
      </c>
      <c r="F27">
        <f t="shared" si="11"/>
        <v>178.6549251369625</v>
      </c>
      <c r="G27">
        <f t="shared" si="11"/>
        <v>55.526130459393954</v>
      </c>
      <c r="H27">
        <f t="shared" si="11"/>
        <v>0</v>
      </c>
      <c r="I27">
        <f t="shared" ref="I27" si="17">AVERAGE(I$3,I10)</f>
        <v>121.055793707444</v>
      </c>
    </row>
    <row r="28" spans="1:9" x14ac:dyDescent="0.2">
      <c r="A28" t="s">
        <v>128</v>
      </c>
      <c r="B28">
        <f t="shared" si="11"/>
        <v>353.67701350731102</v>
      </c>
      <c r="C28">
        <f t="shared" si="11"/>
        <v>0</v>
      </c>
      <c r="D28">
        <f t="shared" si="11"/>
        <v>250.70823767876851</v>
      </c>
      <c r="E28">
        <f t="shared" si="11"/>
        <v>37.911723757483401</v>
      </c>
      <c r="F28">
        <f t="shared" si="11"/>
        <v>192.10395628426647</v>
      </c>
      <c r="G28">
        <f t="shared" si="11"/>
        <v>58.509470507059</v>
      </c>
      <c r="H28">
        <f t="shared" si="11"/>
        <v>0</v>
      </c>
      <c r="I28">
        <f t="shared" ref="I28" si="18">AVERAGE(I$3,I11)</f>
        <v>127.913207698086</v>
      </c>
    </row>
    <row r="29" spans="1:9" x14ac:dyDescent="0.2">
      <c r="A29" t="s">
        <v>129</v>
      </c>
      <c r="B29">
        <f>AVERAGE(B$4,B5)</f>
        <v>297.61092062479202</v>
      </c>
      <c r="C29">
        <f t="shared" ref="C29:H29" si="19">AVERAGE(C$4,C5)</f>
        <v>0</v>
      </c>
      <c r="D29">
        <f t="shared" si="19"/>
        <v>209.615775726495</v>
      </c>
      <c r="E29">
        <f t="shared" si="19"/>
        <v>35.46306988591995</v>
      </c>
      <c r="F29">
        <f t="shared" si="19"/>
        <v>162.05022705592251</v>
      </c>
      <c r="G29">
        <f t="shared" si="19"/>
        <v>54.932818568406503</v>
      </c>
      <c r="H29">
        <f t="shared" si="19"/>
        <v>0</v>
      </c>
      <c r="I29">
        <f>AVERAGE(I$4,I5)</f>
        <v>124.367505074712</v>
      </c>
    </row>
    <row r="30" spans="1:9" x14ac:dyDescent="0.2">
      <c r="A30" t="s">
        <v>130</v>
      </c>
      <c r="B30">
        <f t="shared" ref="B30:H35" si="20">AVERAGE(B$4,B6)</f>
        <v>274.03418784206349</v>
      </c>
      <c r="C30">
        <f t="shared" si="20"/>
        <v>0</v>
      </c>
      <c r="D30">
        <f t="shared" si="20"/>
        <v>190.23931793071353</v>
      </c>
      <c r="E30">
        <f t="shared" si="20"/>
        <v>32.691942943850648</v>
      </c>
      <c r="F30">
        <f t="shared" si="20"/>
        <v>146.06706791233449</v>
      </c>
      <c r="G30">
        <f t="shared" si="20"/>
        <v>50.278543998969653</v>
      </c>
      <c r="H30">
        <f t="shared" si="20"/>
        <v>0</v>
      </c>
      <c r="I30">
        <f t="shared" ref="I30" si="21">AVERAGE(I$4,I6)</f>
        <v>110.95973070561365</v>
      </c>
    </row>
    <row r="31" spans="1:9" x14ac:dyDescent="0.2">
      <c r="A31" t="s">
        <v>131</v>
      </c>
      <c r="B31">
        <f t="shared" si="20"/>
        <v>281.93209551722452</v>
      </c>
      <c r="C31">
        <f t="shared" si="20"/>
        <v>0</v>
      </c>
      <c r="D31">
        <f t="shared" si="20"/>
        <v>196.4267145192895</v>
      </c>
      <c r="E31">
        <f t="shared" si="20"/>
        <v>33.765868566641544</v>
      </c>
      <c r="F31">
        <f t="shared" si="20"/>
        <v>150.848540559415</v>
      </c>
      <c r="G31">
        <f t="shared" si="20"/>
        <v>51.938915256095854</v>
      </c>
      <c r="H31">
        <f t="shared" si="20"/>
        <v>0</v>
      </c>
      <c r="I31">
        <f t="shared" ref="I31" si="22">AVERAGE(I$4,I7)</f>
        <v>114.942703479093</v>
      </c>
    </row>
    <row r="32" spans="1:9" x14ac:dyDescent="0.2">
      <c r="A32" t="s">
        <v>132</v>
      </c>
      <c r="B32">
        <f t="shared" si="20"/>
        <v>293.91987954296451</v>
      </c>
      <c r="C32">
        <f t="shared" si="20"/>
        <v>0</v>
      </c>
      <c r="D32">
        <f t="shared" si="20"/>
        <v>206.00395239788551</v>
      </c>
      <c r="E32">
        <f t="shared" si="20"/>
        <v>35.157952288846097</v>
      </c>
      <c r="F32">
        <f t="shared" si="20"/>
        <v>158.12708495805501</v>
      </c>
      <c r="G32">
        <f t="shared" si="20"/>
        <v>54.094828294782147</v>
      </c>
      <c r="H32">
        <f t="shared" si="20"/>
        <v>0</v>
      </c>
      <c r="I32">
        <f t="shared" ref="I32" si="23">AVERAGE(I$4,I8)</f>
        <v>122.823216637402</v>
      </c>
    </row>
    <row r="33" spans="1:9" x14ac:dyDescent="0.2">
      <c r="A33" t="s">
        <v>133</v>
      </c>
      <c r="B33">
        <f t="shared" si="20"/>
        <v>297.35914711028101</v>
      </c>
      <c r="C33">
        <f t="shared" si="20"/>
        <v>0</v>
      </c>
      <c r="D33">
        <f t="shared" si="20"/>
        <v>209.02724867396651</v>
      </c>
      <c r="E33">
        <f t="shared" si="20"/>
        <v>35.511544311559298</v>
      </c>
      <c r="F33">
        <f t="shared" si="20"/>
        <v>161.63106766748101</v>
      </c>
      <c r="G33">
        <f t="shared" si="20"/>
        <v>55.034317997623297</v>
      </c>
      <c r="H33">
        <f t="shared" si="20"/>
        <v>0</v>
      </c>
      <c r="I33">
        <f t="shared" ref="I33" si="24">AVERAGE(I$4,I9)</f>
        <v>124.46812939278701</v>
      </c>
    </row>
    <row r="34" spans="1:9" x14ac:dyDescent="0.2">
      <c r="A34" t="s">
        <v>134</v>
      </c>
      <c r="B34">
        <f t="shared" si="20"/>
        <v>287.1153168799965</v>
      </c>
      <c r="C34">
        <f t="shared" si="20"/>
        <v>0</v>
      </c>
      <c r="D34">
        <f t="shared" si="20"/>
        <v>200.63782472849852</v>
      </c>
      <c r="E34">
        <f t="shared" si="20"/>
        <v>34.388648815590201</v>
      </c>
      <c r="F34">
        <f t="shared" si="20"/>
        <v>154.26718781557798</v>
      </c>
      <c r="G34">
        <f t="shared" si="20"/>
        <v>52.966963513851695</v>
      </c>
      <c r="H34">
        <f t="shared" si="20"/>
        <v>0</v>
      </c>
      <c r="I34">
        <f t="shared" ref="I34" si="25">AVERAGE(I$4,I10)</f>
        <v>118.88824303689501</v>
      </c>
    </row>
    <row r="35" spans="1:9" x14ac:dyDescent="0.2">
      <c r="A35" t="s">
        <v>135</v>
      </c>
      <c r="B35">
        <f t="shared" si="20"/>
        <v>307.72926260997201</v>
      </c>
      <c r="C35">
        <f t="shared" si="20"/>
        <v>0</v>
      </c>
      <c r="D35">
        <f t="shared" si="20"/>
        <v>217.62697932906599</v>
      </c>
      <c r="E35">
        <f t="shared" si="20"/>
        <v>36.206245233127099</v>
      </c>
      <c r="F35">
        <f t="shared" si="20"/>
        <v>167.71621896288201</v>
      </c>
      <c r="G35">
        <f t="shared" si="20"/>
        <v>55.950303561516748</v>
      </c>
      <c r="H35">
        <f t="shared" si="20"/>
        <v>0</v>
      </c>
      <c r="I35">
        <f t="shared" ref="I35" si="26">AVERAGE(I$4,I11)</f>
        <v>125.74565702753699</v>
      </c>
    </row>
    <row r="36" spans="1:9" x14ac:dyDescent="0.2">
      <c r="A36" t="s">
        <v>136</v>
      </c>
      <c r="B36">
        <f>AVERAGE(B$5,B6)</f>
        <v>270.01266171064447</v>
      </c>
      <c r="C36">
        <f t="shared" ref="C36:H36" si="27">AVERAGE(C$5,C6)</f>
        <v>0</v>
      </c>
      <c r="D36">
        <f t="shared" si="27"/>
        <v>188.58058111193549</v>
      </c>
      <c r="E36">
        <f t="shared" si="27"/>
        <v>33.064127712518001</v>
      </c>
      <c r="F36">
        <f t="shared" si="27"/>
        <v>145.168993854029</v>
      </c>
      <c r="G36">
        <f t="shared" si="27"/>
        <v>50.928983145302951</v>
      </c>
      <c r="H36">
        <f t="shared" si="27"/>
        <v>0</v>
      </c>
      <c r="I36">
        <f>AVERAGE(I$5,I6)</f>
        <v>111.30085172139165</v>
      </c>
    </row>
    <row r="37" spans="1:9" x14ac:dyDescent="0.2">
      <c r="A37" t="s">
        <v>137</v>
      </c>
      <c r="B37">
        <f t="shared" ref="B37:H41" si="28">AVERAGE(B$5,B7)</f>
        <v>277.9105693858055</v>
      </c>
      <c r="C37">
        <f t="shared" si="28"/>
        <v>0</v>
      </c>
      <c r="D37">
        <f t="shared" si="28"/>
        <v>194.76797770051149</v>
      </c>
      <c r="E37">
        <f t="shared" si="28"/>
        <v>34.138053335308896</v>
      </c>
      <c r="F37">
        <f t="shared" si="28"/>
        <v>149.9504665011095</v>
      </c>
      <c r="G37">
        <f t="shared" si="28"/>
        <v>52.589354402429151</v>
      </c>
      <c r="H37">
        <f t="shared" si="28"/>
        <v>0</v>
      </c>
      <c r="I37">
        <f t="shared" ref="I37" si="29">AVERAGE(I$5,I7)</f>
        <v>115.283824494871</v>
      </c>
    </row>
    <row r="38" spans="1:9" x14ac:dyDescent="0.2">
      <c r="A38" t="s">
        <v>138</v>
      </c>
      <c r="B38">
        <f t="shared" si="28"/>
        <v>289.89835341154549</v>
      </c>
      <c r="C38">
        <f t="shared" si="28"/>
        <v>0</v>
      </c>
      <c r="D38">
        <f t="shared" si="28"/>
        <v>204.3452155791075</v>
      </c>
      <c r="E38">
        <f t="shared" si="28"/>
        <v>35.53013705751345</v>
      </c>
      <c r="F38">
        <f t="shared" si="28"/>
        <v>157.22901089974951</v>
      </c>
      <c r="G38">
        <f t="shared" si="28"/>
        <v>54.745267441115452</v>
      </c>
      <c r="H38">
        <f t="shared" si="28"/>
        <v>0</v>
      </c>
      <c r="I38">
        <f t="shared" ref="I38" si="30">AVERAGE(I$5,I8)</f>
        <v>123.16433765318</v>
      </c>
    </row>
    <row r="39" spans="1:9" x14ac:dyDescent="0.2">
      <c r="A39" t="s">
        <v>139</v>
      </c>
      <c r="B39">
        <f t="shared" si="28"/>
        <v>293.33762097886199</v>
      </c>
      <c r="C39">
        <f t="shared" si="28"/>
        <v>0</v>
      </c>
      <c r="D39">
        <f t="shared" si="28"/>
        <v>207.3685118551885</v>
      </c>
      <c r="E39">
        <f t="shared" si="28"/>
        <v>35.883729080226651</v>
      </c>
      <c r="F39">
        <f t="shared" si="28"/>
        <v>160.73299360917551</v>
      </c>
      <c r="G39">
        <f t="shared" si="28"/>
        <v>55.684757143956602</v>
      </c>
      <c r="H39">
        <f t="shared" si="28"/>
        <v>0</v>
      </c>
      <c r="I39">
        <f t="shared" ref="I39" si="31">AVERAGE(I$5,I9)</f>
        <v>124.80925040856499</v>
      </c>
    </row>
    <row r="40" spans="1:9" x14ac:dyDescent="0.2">
      <c r="A40" t="s">
        <v>140</v>
      </c>
      <c r="B40">
        <f t="shared" si="28"/>
        <v>283.09379074857748</v>
      </c>
      <c r="C40">
        <f t="shared" si="28"/>
        <v>0</v>
      </c>
      <c r="D40">
        <f t="shared" si="28"/>
        <v>198.97908790972048</v>
      </c>
      <c r="E40">
        <f t="shared" si="28"/>
        <v>34.760833584257554</v>
      </c>
      <c r="F40">
        <f t="shared" si="28"/>
        <v>153.36911375727249</v>
      </c>
      <c r="G40">
        <f t="shared" si="28"/>
        <v>53.617402660185</v>
      </c>
      <c r="H40">
        <f t="shared" si="28"/>
        <v>0</v>
      </c>
      <c r="I40">
        <f t="shared" ref="I40" si="32">AVERAGE(I$5,I10)</f>
        <v>119.22936405267299</v>
      </c>
    </row>
    <row r="41" spans="1:9" x14ac:dyDescent="0.2">
      <c r="A41" t="s">
        <v>141</v>
      </c>
      <c r="B41">
        <f t="shared" si="28"/>
        <v>303.70773647855299</v>
      </c>
      <c r="C41">
        <f t="shared" si="28"/>
        <v>0</v>
      </c>
      <c r="D41">
        <f t="shared" si="28"/>
        <v>215.96824251028801</v>
      </c>
      <c r="E41">
        <f t="shared" si="28"/>
        <v>36.578430001794452</v>
      </c>
      <c r="F41">
        <f t="shared" si="28"/>
        <v>166.81814490457651</v>
      </c>
      <c r="G41">
        <f t="shared" si="28"/>
        <v>56.600742707850046</v>
      </c>
      <c r="H41">
        <f t="shared" si="28"/>
        <v>0</v>
      </c>
      <c r="I41">
        <f t="shared" ref="I41" si="33">AVERAGE(I$5,I11)</f>
        <v>126.08677804331501</v>
      </c>
    </row>
    <row r="42" spans="1:9" x14ac:dyDescent="0.2">
      <c r="A42" t="s">
        <v>142</v>
      </c>
      <c r="B42">
        <f>AVERAGE(B$6,B7)</f>
        <v>254.333836603077</v>
      </c>
      <c r="C42">
        <f t="shared" ref="C42:H42" si="34">AVERAGE(C$6,C7)</f>
        <v>0</v>
      </c>
      <c r="D42">
        <f t="shared" si="34"/>
        <v>175.39151990472999</v>
      </c>
      <c r="E42">
        <f t="shared" si="34"/>
        <v>31.366926393239599</v>
      </c>
      <c r="F42">
        <f t="shared" si="34"/>
        <v>133.96730735752149</v>
      </c>
      <c r="G42">
        <f t="shared" si="34"/>
        <v>47.935079832992301</v>
      </c>
      <c r="H42">
        <f t="shared" si="34"/>
        <v>0</v>
      </c>
      <c r="I42">
        <f>AVERAGE(I$6,I7)</f>
        <v>101.87605012577265</v>
      </c>
    </row>
    <row r="43" spans="1:9" x14ac:dyDescent="0.2">
      <c r="A43" t="s">
        <v>143</v>
      </c>
      <c r="B43">
        <f t="shared" ref="B43:H46" si="35">AVERAGE(B$6,B8)</f>
        <v>266.32162062881696</v>
      </c>
      <c r="C43">
        <f t="shared" si="35"/>
        <v>0</v>
      </c>
      <c r="D43">
        <f t="shared" si="35"/>
        <v>184.968757783326</v>
      </c>
      <c r="E43">
        <f t="shared" si="35"/>
        <v>32.759010115444148</v>
      </c>
      <c r="F43">
        <f t="shared" si="35"/>
        <v>141.2458517561615</v>
      </c>
      <c r="G43">
        <f t="shared" si="35"/>
        <v>50.090992871678601</v>
      </c>
      <c r="H43">
        <f t="shared" si="35"/>
        <v>0</v>
      </c>
      <c r="I43">
        <f t="shared" ref="I43" si="36">AVERAGE(I$6,I8)</f>
        <v>109.75656328408165</v>
      </c>
    </row>
    <row r="44" spans="1:9" x14ac:dyDescent="0.2">
      <c r="A44" t="s">
        <v>144</v>
      </c>
      <c r="B44">
        <f t="shared" si="35"/>
        <v>269.76088819613346</v>
      </c>
      <c r="C44">
        <f t="shared" si="35"/>
        <v>0</v>
      </c>
      <c r="D44">
        <f t="shared" si="35"/>
        <v>187.992054059407</v>
      </c>
      <c r="E44">
        <f t="shared" si="35"/>
        <v>33.112602138157349</v>
      </c>
      <c r="F44">
        <f t="shared" si="35"/>
        <v>144.7498344655875</v>
      </c>
      <c r="G44">
        <f t="shared" si="35"/>
        <v>51.030482574519752</v>
      </c>
      <c r="H44">
        <f t="shared" si="35"/>
        <v>0</v>
      </c>
      <c r="I44">
        <f t="shared" ref="I44" si="37">AVERAGE(I$6,I9)</f>
        <v>111.40147603946664</v>
      </c>
    </row>
    <row r="45" spans="1:9" x14ac:dyDescent="0.2">
      <c r="A45" t="s">
        <v>145</v>
      </c>
      <c r="B45">
        <f t="shared" si="35"/>
        <v>259.51705796584901</v>
      </c>
      <c r="C45">
        <f t="shared" si="35"/>
        <v>0</v>
      </c>
      <c r="D45">
        <f t="shared" si="35"/>
        <v>179.602630113939</v>
      </c>
      <c r="E45">
        <f t="shared" si="35"/>
        <v>31.989706642188249</v>
      </c>
      <c r="F45">
        <f t="shared" si="35"/>
        <v>137.38595461368448</v>
      </c>
      <c r="G45">
        <f t="shared" si="35"/>
        <v>48.96312809074815</v>
      </c>
      <c r="H45">
        <f t="shared" si="35"/>
        <v>0</v>
      </c>
      <c r="I45">
        <f t="shared" ref="I45" si="38">AVERAGE(I$6,I10)</f>
        <v>105.82158968357464</v>
      </c>
    </row>
    <row r="46" spans="1:9" x14ac:dyDescent="0.2">
      <c r="A46" t="s">
        <v>146</v>
      </c>
      <c r="B46">
        <f t="shared" si="35"/>
        <v>280.13100369582446</v>
      </c>
      <c r="C46">
        <f t="shared" si="35"/>
        <v>0</v>
      </c>
      <c r="D46">
        <f t="shared" si="35"/>
        <v>196.5917847145065</v>
      </c>
      <c r="E46">
        <f t="shared" si="35"/>
        <v>33.80730305972515</v>
      </c>
      <c r="F46">
        <f t="shared" si="35"/>
        <v>150.8349857609885</v>
      </c>
      <c r="G46">
        <f t="shared" si="35"/>
        <v>51.946468138413195</v>
      </c>
      <c r="H46">
        <f t="shared" si="35"/>
        <v>0</v>
      </c>
      <c r="I46">
        <f t="shared" ref="I46" si="39">AVERAGE(I$6,I11)</f>
        <v>112.67900367421666</v>
      </c>
    </row>
    <row r="47" spans="1:9" x14ac:dyDescent="0.2">
      <c r="A47" t="s">
        <v>147</v>
      </c>
      <c r="B47" s="36">
        <f>AVERAGE(B$7,B8)</f>
        <v>274.219528303978</v>
      </c>
      <c r="C47" s="36">
        <f t="shared" ref="C47:H47" si="40">AVERAGE(C$7,C8)</f>
        <v>0</v>
      </c>
      <c r="D47" s="36">
        <f t="shared" si="40"/>
        <v>191.15615437190201</v>
      </c>
      <c r="E47" s="36">
        <f t="shared" si="40"/>
        <v>33.832935738235051</v>
      </c>
      <c r="F47" s="36">
        <f t="shared" si="40"/>
        <v>146.02732440324201</v>
      </c>
      <c r="G47" s="36">
        <f t="shared" si="40"/>
        <v>51.751364128804802</v>
      </c>
      <c r="H47" s="36">
        <f t="shared" si="40"/>
        <v>0</v>
      </c>
      <c r="I47" s="36">
        <f>AVERAGE(I$7,I8)</f>
        <v>113.739536057561</v>
      </c>
    </row>
    <row r="48" spans="1:9" x14ac:dyDescent="0.2">
      <c r="A48" t="s">
        <v>148</v>
      </c>
      <c r="B48" s="36">
        <f t="shared" ref="B48:H50" si="41">AVERAGE(B$7,B9)</f>
        <v>277.6587958712945</v>
      </c>
      <c r="C48" s="36">
        <f t="shared" si="41"/>
        <v>0</v>
      </c>
      <c r="D48" s="36">
        <f t="shared" si="41"/>
        <v>194.179450647983</v>
      </c>
      <c r="E48" s="36">
        <f t="shared" si="41"/>
        <v>34.186527760948252</v>
      </c>
      <c r="F48" s="36">
        <f t="shared" si="41"/>
        <v>149.531307112668</v>
      </c>
      <c r="G48" s="36">
        <f t="shared" si="41"/>
        <v>52.690853831645953</v>
      </c>
      <c r="H48" s="36">
        <f t="shared" si="41"/>
        <v>0</v>
      </c>
      <c r="I48" s="36">
        <f t="shared" ref="I48" si="42">AVERAGE(I$7,I9)</f>
        <v>115.384448812946</v>
      </c>
    </row>
    <row r="49" spans="1:9" x14ac:dyDescent="0.2">
      <c r="A49" t="s">
        <v>149</v>
      </c>
      <c r="B49" s="36">
        <f t="shared" si="41"/>
        <v>267.41496564100999</v>
      </c>
      <c r="C49" s="36">
        <f t="shared" si="41"/>
        <v>0</v>
      </c>
      <c r="D49" s="36">
        <f t="shared" si="41"/>
        <v>185.79002670251498</v>
      </c>
      <c r="E49" s="36">
        <f t="shared" si="41"/>
        <v>33.063632264979148</v>
      </c>
      <c r="F49" s="36">
        <f t="shared" si="41"/>
        <v>142.16742726076501</v>
      </c>
      <c r="G49" s="36">
        <f t="shared" si="41"/>
        <v>50.62349934787435</v>
      </c>
      <c r="H49" s="36">
        <f t="shared" si="41"/>
        <v>0</v>
      </c>
      <c r="I49" s="36">
        <f t="shared" ref="I49" si="43">AVERAGE(I$7,I10)</f>
        <v>109.804562457054</v>
      </c>
    </row>
    <row r="50" spans="1:9" x14ac:dyDescent="0.2">
      <c r="A50" t="s">
        <v>150</v>
      </c>
      <c r="B50" s="36">
        <f t="shared" si="41"/>
        <v>288.0289113709855</v>
      </c>
      <c r="C50" s="36">
        <f t="shared" si="41"/>
        <v>0</v>
      </c>
      <c r="D50" s="36">
        <f t="shared" si="41"/>
        <v>202.77918130308251</v>
      </c>
      <c r="E50" s="36">
        <f t="shared" si="41"/>
        <v>34.881228682516053</v>
      </c>
      <c r="F50" s="36">
        <f t="shared" si="41"/>
        <v>155.61645840806898</v>
      </c>
      <c r="G50" s="36">
        <f t="shared" si="41"/>
        <v>53.606839395539396</v>
      </c>
      <c r="H50" s="36">
        <f t="shared" si="41"/>
        <v>0</v>
      </c>
      <c r="I50" s="36">
        <f t="shared" ref="I50" si="44">AVERAGE(I$7,I11)</f>
        <v>116.66197644769599</v>
      </c>
    </row>
    <row r="51" spans="1:9" x14ac:dyDescent="0.2">
      <c r="A51" t="s">
        <v>151</v>
      </c>
      <c r="B51" s="36">
        <f>AVERAGE(B$8,B9)</f>
        <v>289.64657989703448</v>
      </c>
      <c r="C51" s="36">
        <f t="shared" ref="C51:H51" si="45">AVERAGE(C$8,C9)</f>
        <v>0</v>
      </c>
      <c r="D51" s="36">
        <f t="shared" si="45"/>
        <v>203.75668852657901</v>
      </c>
      <c r="E51" s="36">
        <f t="shared" si="45"/>
        <v>35.578611483152798</v>
      </c>
      <c r="F51" s="36">
        <f t="shared" si="45"/>
        <v>156.80985151130801</v>
      </c>
      <c r="G51" s="36">
        <f t="shared" si="45"/>
        <v>54.846766870332246</v>
      </c>
      <c r="H51" s="36">
        <f t="shared" si="45"/>
        <v>0</v>
      </c>
      <c r="I51" s="36">
        <f>AVERAGE(I$8,I9)</f>
        <v>123.26496197125499</v>
      </c>
    </row>
    <row r="52" spans="1:9" x14ac:dyDescent="0.2">
      <c r="A52" t="s">
        <v>152</v>
      </c>
      <c r="B52" s="36">
        <f t="shared" ref="B52:H53" si="46">AVERAGE(B$8,B10)</f>
        <v>279.40274966674997</v>
      </c>
      <c r="C52" s="36">
        <f t="shared" si="46"/>
        <v>0</v>
      </c>
      <c r="D52" s="36">
        <f t="shared" si="46"/>
        <v>195.36726458111099</v>
      </c>
      <c r="E52" s="36">
        <f t="shared" si="46"/>
        <v>34.455715987183694</v>
      </c>
      <c r="F52" s="36">
        <f t="shared" si="46"/>
        <v>149.44597165940502</v>
      </c>
      <c r="G52" s="36">
        <f t="shared" si="46"/>
        <v>52.779412386560651</v>
      </c>
      <c r="H52" s="36">
        <f t="shared" si="46"/>
        <v>0</v>
      </c>
      <c r="I52" s="36">
        <f t="shared" ref="I52" si="47">AVERAGE(I$8,I10)</f>
        <v>117.68507561536299</v>
      </c>
    </row>
    <row r="53" spans="1:9" x14ac:dyDescent="0.2">
      <c r="A53" t="s">
        <v>153</v>
      </c>
      <c r="B53" s="36">
        <f t="shared" si="46"/>
        <v>300.01669539672548</v>
      </c>
      <c r="C53" s="36">
        <f t="shared" si="46"/>
        <v>0</v>
      </c>
      <c r="D53" s="36">
        <f t="shared" si="46"/>
        <v>212.35641918167852</v>
      </c>
      <c r="E53" s="36">
        <f t="shared" si="46"/>
        <v>36.273312404720599</v>
      </c>
      <c r="F53" s="36">
        <f t="shared" si="46"/>
        <v>162.89500280670899</v>
      </c>
      <c r="G53" s="36">
        <f t="shared" si="46"/>
        <v>55.762752434225703</v>
      </c>
      <c r="H53" s="36">
        <f t="shared" si="46"/>
        <v>0</v>
      </c>
      <c r="I53" s="36">
        <f t="shared" ref="I53" si="48">AVERAGE(I$8,I11)</f>
        <v>124.54248960600501</v>
      </c>
    </row>
    <row r="54" spans="1:9" x14ac:dyDescent="0.2">
      <c r="A54" t="s">
        <v>154</v>
      </c>
      <c r="B54">
        <f>AVERAGE(B$9,B10)</f>
        <v>282.84201723406647</v>
      </c>
      <c r="C54">
        <f t="shared" ref="C54:H54" si="49">AVERAGE(C$9,C10)</f>
        <v>0</v>
      </c>
      <c r="D54">
        <f t="shared" si="49"/>
        <v>198.39056085719199</v>
      </c>
      <c r="E54">
        <f t="shared" si="49"/>
        <v>34.809308009896895</v>
      </c>
      <c r="F54">
        <f t="shared" si="49"/>
        <v>152.94995436883102</v>
      </c>
      <c r="G54">
        <f t="shared" si="49"/>
        <v>53.718902089401794</v>
      </c>
      <c r="H54">
        <f t="shared" si="49"/>
        <v>0</v>
      </c>
      <c r="I54">
        <f>AVERAGE(I$9,I10)</f>
        <v>119.329988370748</v>
      </c>
    </row>
    <row r="55" spans="1:9" x14ac:dyDescent="0.2">
      <c r="A55" t="s">
        <v>155</v>
      </c>
      <c r="B55">
        <f>AVERAGE(B$9,B11)</f>
        <v>303.45596296404199</v>
      </c>
      <c r="C55">
        <f t="shared" ref="C55:H55" si="50">AVERAGE(C$9,C11)</f>
        <v>0</v>
      </c>
      <c r="D55">
        <f t="shared" si="50"/>
        <v>215.37971545775952</v>
      </c>
      <c r="E55">
        <f t="shared" si="50"/>
        <v>36.6269044274338</v>
      </c>
      <c r="F55">
        <f t="shared" si="50"/>
        <v>166.39898551613499</v>
      </c>
      <c r="G55">
        <f t="shared" si="50"/>
        <v>56.702242137066847</v>
      </c>
      <c r="H55">
        <f t="shared" si="50"/>
        <v>0</v>
      </c>
      <c r="I55">
        <f>AVERAGE(I$9,I11)</f>
        <v>126.18740236139</v>
      </c>
    </row>
    <row r="56" spans="1:9" x14ac:dyDescent="0.2">
      <c r="A56" t="s">
        <v>156</v>
      </c>
      <c r="B56">
        <f>AVERAGE(B$10,B11)</f>
        <v>293.21213273375747</v>
      </c>
      <c r="C56">
        <f t="shared" ref="C56:H56" si="51">AVERAGE(C$10,C11)</f>
        <v>0</v>
      </c>
      <c r="D56">
        <f t="shared" si="51"/>
        <v>206.99029151229149</v>
      </c>
      <c r="E56">
        <f t="shared" si="51"/>
        <v>35.504008931464696</v>
      </c>
      <c r="F56">
        <f t="shared" si="51"/>
        <v>159.03510566423199</v>
      </c>
      <c r="G56">
        <f t="shared" si="51"/>
        <v>54.634887653295252</v>
      </c>
      <c r="H56">
        <f t="shared" si="51"/>
        <v>0</v>
      </c>
      <c r="I56">
        <f>AVERAGE(I$10,I11)</f>
        <v>120.607516005498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785E-66A5-9E41-B508-1E4531E098E2}">
  <dimension ref="A1:A41"/>
  <sheetViews>
    <sheetView workbookViewId="0">
      <selection activeCell="B2" sqref="B2"/>
    </sheetView>
  </sheetViews>
  <sheetFormatPr baseColWidth="10" defaultRowHeight="16" x14ac:dyDescent="0.2"/>
  <sheetData>
    <row r="1" spans="1:1" x14ac:dyDescent="0.2">
      <c r="A1" s="26" t="s">
        <v>97</v>
      </c>
    </row>
    <row r="2" spans="1:1" x14ac:dyDescent="0.2">
      <c r="A2" s="26" t="s">
        <v>98</v>
      </c>
    </row>
    <row r="3" spans="1:1" x14ac:dyDescent="0.2">
      <c r="A3" s="26" t="s">
        <v>99</v>
      </c>
    </row>
    <row r="4" spans="1:1" x14ac:dyDescent="0.2">
      <c r="A4" s="26" t="s">
        <v>100</v>
      </c>
    </row>
    <row r="5" spans="1:1" x14ac:dyDescent="0.2">
      <c r="A5" s="26" t="s">
        <v>101</v>
      </c>
    </row>
    <row r="6" spans="1:1" x14ac:dyDescent="0.2">
      <c r="A6">
        <v>12</v>
      </c>
    </row>
    <row r="7" spans="1:1" x14ac:dyDescent="0.2">
      <c r="A7">
        <v>13</v>
      </c>
    </row>
    <row r="8" spans="1:1" x14ac:dyDescent="0.2">
      <c r="A8">
        <v>14</v>
      </c>
    </row>
    <row r="9" spans="1:1" x14ac:dyDescent="0.2">
      <c r="A9">
        <v>15</v>
      </c>
    </row>
    <row r="10" spans="1:1" x14ac:dyDescent="0.2">
      <c r="A10">
        <v>16</v>
      </c>
    </row>
    <row r="11" spans="1:1" x14ac:dyDescent="0.2">
      <c r="A11">
        <v>17</v>
      </c>
    </row>
    <row r="12" spans="1:1" x14ac:dyDescent="0.2">
      <c r="A12">
        <v>18</v>
      </c>
    </row>
    <row r="13" spans="1:1" x14ac:dyDescent="0.2">
      <c r="A13">
        <v>19</v>
      </c>
    </row>
    <row r="14" spans="1:1" x14ac:dyDescent="0.2">
      <c r="A14">
        <v>23</v>
      </c>
    </row>
    <row r="15" spans="1:1" x14ac:dyDescent="0.2">
      <c r="A15">
        <v>24</v>
      </c>
    </row>
    <row r="16" spans="1:1" x14ac:dyDescent="0.2">
      <c r="A16">
        <v>25</v>
      </c>
    </row>
    <row r="17" spans="1:1" x14ac:dyDescent="0.2">
      <c r="A17">
        <v>26</v>
      </c>
    </row>
    <row r="18" spans="1:1" x14ac:dyDescent="0.2">
      <c r="A18">
        <v>27</v>
      </c>
    </row>
    <row r="19" spans="1:1" x14ac:dyDescent="0.2">
      <c r="A19">
        <v>28</v>
      </c>
    </row>
    <row r="20" spans="1:1" x14ac:dyDescent="0.2">
      <c r="A20">
        <v>29</v>
      </c>
    </row>
    <row r="21" spans="1:1" x14ac:dyDescent="0.2">
      <c r="A21">
        <v>34</v>
      </c>
    </row>
    <row r="22" spans="1:1" x14ac:dyDescent="0.2">
      <c r="A22">
        <v>35</v>
      </c>
    </row>
    <row r="23" spans="1:1" x14ac:dyDescent="0.2">
      <c r="A23">
        <v>36</v>
      </c>
    </row>
    <row r="24" spans="1:1" x14ac:dyDescent="0.2">
      <c r="A24">
        <v>37</v>
      </c>
    </row>
    <row r="25" spans="1:1" x14ac:dyDescent="0.2">
      <c r="A25">
        <v>38</v>
      </c>
    </row>
    <row r="26" spans="1:1" x14ac:dyDescent="0.2">
      <c r="A26">
        <v>39</v>
      </c>
    </row>
    <row r="27" spans="1:1" x14ac:dyDescent="0.2">
      <c r="A27">
        <v>45</v>
      </c>
    </row>
    <row r="28" spans="1:1" x14ac:dyDescent="0.2">
      <c r="A28">
        <v>46</v>
      </c>
    </row>
    <row r="29" spans="1:1" x14ac:dyDescent="0.2">
      <c r="A29">
        <v>47</v>
      </c>
    </row>
    <row r="30" spans="1:1" x14ac:dyDescent="0.2">
      <c r="A30">
        <v>48</v>
      </c>
    </row>
    <row r="31" spans="1:1" x14ac:dyDescent="0.2">
      <c r="A31">
        <v>49</v>
      </c>
    </row>
    <row r="32" spans="1:1" x14ac:dyDescent="0.2">
      <c r="A32">
        <v>56</v>
      </c>
    </row>
    <row r="33" spans="1:1" x14ac:dyDescent="0.2">
      <c r="A33">
        <v>57</v>
      </c>
    </row>
    <row r="34" spans="1:1" x14ac:dyDescent="0.2">
      <c r="A34">
        <v>58</v>
      </c>
    </row>
    <row r="35" spans="1:1" x14ac:dyDescent="0.2">
      <c r="A35">
        <v>59</v>
      </c>
    </row>
    <row r="36" spans="1:1" x14ac:dyDescent="0.2">
      <c r="A36">
        <v>67</v>
      </c>
    </row>
    <row r="37" spans="1:1" x14ac:dyDescent="0.2">
      <c r="A37">
        <v>68</v>
      </c>
    </row>
    <row r="38" spans="1:1" x14ac:dyDescent="0.2">
      <c r="A38">
        <v>69</v>
      </c>
    </row>
    <row r="39" spans="1:1" x14ac:dyDescent="0.2">
      <c r="A39">
        <v>78</v>
      </c>
    </row>
    <row r="40" spans="1:1" x14ac:dyDescent="0.2">
      <c r="A40">
        <v>79</v>
      </c>
    </row>
    <row r="41" spans="1:1" x14ac:dyDescent="0.2">
      <c r="A4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Hybrid Energy Intensities - Adj</vt:lpstr>
      <vt:lpstr>Hybrid Energy Intensities</vt:lpstr>
      <vt:lpstr>Railroad Values</vt:lpstr>
      <vt:lpstr>States and Regions</vt:lpstr>
      <vt:lpstr>hybrid_energy_intensities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2024-01-19T21:43:45Z</dcterms:created>
  <dcterms:modified xsi:type="dcterms:W3CDTF">2024-01-24T20:46:33Z</dcterms:modified>
</cp:coreProperties>
</file>