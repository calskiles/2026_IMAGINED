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uwildcat-my.sharepoint.com/personal/pld508_ads_northwestern_edu/Documents/Adrian Hernandez/ARPA-E LOCOMOTIVES/Alpha Framework/Input Data/LCA/"/>
    </mc:Choice>
  </mc:AlternateContent>
  <xr:revisionPtr revIDLastSave="25" documentId="8_{800DABDD-EFF1-6849-BFF8-E6A23E993D98}" xr6:coauthVersionLast="47" xr6:coauthVersionMax="47" xr10:uidLastSave="{46B2196B-AFF5-D547-91E1-85C54630DE15}"/>
  <bookViews>
    <workbookView xWindow="0" yWindow="500" windowWidth="28800" windowHeight="16380" xr2:uid="{F0BAFF49-1B4C-1644-B678-5A27A645480A}"/>
  </bookViews>
  <sheets>
    <sheet name="LCA" sheetId="2" r:id="rId1"/>
    <sheet name="Sheet1" sheetId="3" r:id="rId2"/>
  </sheets>
  <externalReferences>
    <externalReference r:id="rId3"/>
  </externalReferences>
  <definedNames>
    <definedName name="CompProdVol">[1]Scenario!$R$4</definedName>
    <definedName name="Daily_demand_LH2_HD">'[1]HDRefueling Station-Liquid H2'!$B$29</definedName>
    <definedName name="Hoses">[1]Scenario!$O$16</definedName>
    <definedName name="LH2_Dispensing_Option_HD">'[1]HDRefueling Station-Liquid H2'!$B$26</definedName>
    <definedName name="liquifier_flow">'[1]H2 Liquefier'!$B$31</definedName>
    <definedName name="lkk">'[1]H2 Liquefier'!$B$104</definedName>
    <definedName name="num_HDV_HD">'[1]HDRefueling Station-Gaseous H2'!$B$28</definedName>
    <definedName name="Statn_Op_Hrs">[1]Scenario!$O$15</definedName>
    <definedName name="TCap_Forec_LH2_HD">'[1]HDRefueling Station-Liquid H2'!$B$285</definedName>
    <definedName name="TCap_Lterm">'[1]Liquid H2 Terminal'!$B$184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2" l="1"/>
  <c r="D30" i="2"/>
  <c r="D31" i="2"/>
  <c r="D32" i="2"/>
  <c r="C30" i="2"/>
  <c r="C31" i="2"/>
  <c r="C32" i="2"/>
  <c r="C29" i="2"/>
  <c r="E35" i="2"/>
  <c r="G9" i="3"/>
  <c r="G10" i="3"/>
  <c r="G8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2" i="3"/>
</calcChain>
</file>

<file path=xl/sharedStrings.xml><?xml version="1.0" encoding="utf-8"?>
<sst xmlns="http://schemas.openxmlformats.org/spreadsheetml/2006/main" count="87" uniqueCount="71">
  <si>
    <t>GHG Emission in gCO2e/MJ</t>
  </si>
  <si>
    <t>Year</t>
  </si>
  <si>
    <t>Liquid Hydrogen Pathways</t>
  </si>
  <si>
    <t>Feedstock</t>
  </si>
  <si>
    <t>Fuel</t>
  </si>
  <si>
    <t>Vehicle Operation</t>
  </si>
  <si>
    <t>Total</t>
  </si>
  <si>
    <t>Natural Gas</t>
  </si>
  <si>
    <t>NG with CO2 Sequestration</t>
  </si>
  <si>
    <t>PEM Electrolysis - Solar</t>
  </si>
  <si>
    <t>PEM Electrolysis - Nuclear</t>
  </si>
  <si>
    <t>MJ/kWh</t>
  </si>
  <si>
    <t>state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</si>
  <si>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</si>
  <si>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</si>
  <si>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</si>
  <si>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</si>
  <si>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</si>
  <si>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</si>
  <si>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</si>
  <si>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</si>
  <si>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</si>
  <si>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</si>
  <si>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</si>
  <si>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</si>
  <si>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</si>
  <si>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</si>
  <si>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</si>
  <si>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</si>
  <si>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</si>
  <si>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</si>
  <si>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</si>
  <si>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</si>
  <si>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</si>
  <si>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</si>
  <si>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</si>
  <si>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</si>
  <si>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</si>
  <si>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</si>
  <si>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</si>
  <si>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</si>
  <si>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</si>
  <si>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</si>
  <si>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</si>
  <si>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</si>
  <si>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</si>
  <si>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</si>
  <si>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</si>
  <si>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</si>
  <si>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</si>
  <si>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</si>
  <si>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</si>
  <si>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</si>
  <si>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</si>
  <si>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</si>
  <si>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</si>
  <si>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</si>
  <si>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</si>
  <si>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</si>
  <si>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</si>
  <si>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</si>
  <si>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Mj/kWh</t>
  </si>
  <si>
    <t>emissions g/kWh</t>
  </si>
  <si>
    <t>fuel_type</t>
  </si>
  <si>
    <t>gCO2/gal</t>
  </si>
  <si>
    <t>diesel</t>
  </si>
  <si>
    <t>biodiesel</t>
  </si>
  <si>
    <t>e-fuel</t>
  </si>
  <si>
    <t>g/MJ</t>
  </si>
  <si>
    <t>MJ/gal diesel</t>
  </si>
  <si>
    <t>MJ/kgH2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</si>
</sst>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1" fontId="1" fillId="0" borderId="0" xfId="1" applyNumberFormat="1"/>
    <xf numFmtId="0" fontId="2" fillId="0" borderId="0" xfId="1" applyFont="1"/>
    <xf numFmtId="0" fontId="1" fillId="0" borderId="0" xfId="1" applyAlignment="1">
      <alignment horizontal="center"/>
    </xf>
  </cellXfs>
  <cellStyles count="2">
    <cellStyle name="Normal" xfId="0" builtinId="0"/>
    <cellStyle name="Normal 2" xfId="1" xr:uid="{B5624A08-F90D-344A-9CA9-192A94008B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WTW GHG</a:t>
            </a:r>
            <a:r>
              <a:rPr lang="en-US" baseline="0"/>
              <a:t> emission for different pathways (2021)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7171296296296298"/>
          <c:w val="0.89019685039370078"/>
          <c:h val="0.4868208661417322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LCA!$C$4</c:f>
              <c:strCache>
                <c:ptCount val="1"/>
                <c:pt idx="0">
                  <c:v>Feedstock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LCA!$B$5:$B$8</c:f>
              <c:strCache>
                <c:ptCount val="4"/>
                <c:pt idx="0">
                  <c:v>Natural Gas</c:v>
                </c:pt>
                <c:pt idx="1">
                  <c:v>NG with CO2 Sequestration</c:v>
                </c:pt>
                <c:pt idx="2">
                  <c:v>PEM Electrolysis - Solar</c:v>
                </c:pt>
                <c:pt idx="3">
                  <c:v>PEM Electrolysis - Nuclear</c:v>
                </c:pt>
              </c:strCache>
            </c:strRef>
          </c:cat>
          <c:val>
            <c:numRef>
              <c:f>LCA!$C$5:$C$8</c:f>
              <c:numCache>
                <c:formatCode>0</c:formatCode>
                <c:ptCount val="4"/>
                <c:pt idx="0">
                  <c:v>13.526976602481877</c:v>
                </c:pt>
                <c:pt idx="1">
                  <c:v>13.896688917266216</c:v>
                </c:pt>
                <c:pt idx="2">
                  <c:v>0</c:v>
                </c:pt>
                <c:pt idx="3">
                  <c:v>3.2786489959671736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E2-3F4D-BC60-4B0AA56453E3}"/>
            </c:ext>
          </c:extLst>
        </c:ser>
        <c:ser>
          <c:idx val="1"/>
          <c:order val="1"/>
          <c:tx>
            <c:strRef>
              <c:f>LCA!$D$4</c:f>
              <c:strCache>
                <c:ptCount val="1"/>
                <c:pt idx="0">
                  <c:v>Fuel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LCA!$B$5:$B$8</c:f>
              <c:strCache>
                <c:ptCount val="4"/>
                <c:pt idx="0">
                  <c:v>Natural Gas</c:v>
                </c:pt>
                <c:pt idx="1">
                  <c:v>NG with CO2 Sequestration</c:v>
                </c:pt>
                <c:pt idx="2">
                  <c:v>PEM Electrolysis - Solar</c:v>
                </c:pt>
                <c:pt idx="3">
                  <c:v>PEM Electrolysis - Nuclear</c:v>
                </c:pt>
              </c:strCache>
            </c:strRef>
          </c:cat>
          <c:val>
            <c:numRef>
              <c:f>LCA!$D$5:$D$8</c:f>
              <c:numCache>
                <c:formatCode>0</c:formatCode>
                <c:ptCount val="4"/>
                <c:pt idx="0">
                  <c:v>120.75092489359244</c:v>
                </c:pt>
                <c:pt idx="1">
                  <c:v>66.434123824733234</c:v>
                </c:pt>
                <c:pt idx="2">
                  <c:v>49.676913489097409</c:v>
                </c:pt>
                <c:pt idx="3">
                  <c:v>2.6011928029746776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E2-3F4D-BC60-4B0AA56453E3}"/>
            </c:ext>
          </c:extLst>
        </c:ser>
        <c:ser>
          <c:idx val="3"/>
          <c:order val="3"/>
          <c:tx>
            <c:strRef>
              <c:f>LCA!$F$4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LCA!$B$5:$B$8</c:f>
              <c:strCache>
                <c:ptCount val="4"/>
                <c:pt idx="0">
                  <c:v>Natural Gas</c:v>
                </c:pt>
                <c:pt idx="1">
                  <c:v>NG with CO2 Sequestration</c:v>
                </c:pt>
                <c:pt idx="2">
                  <c:v>PEM Electrolysis - Solar</c:v>
                </c:pt>
                <c:pt idx="3">
                  <c:v>PEM Electrolysis - Nuclear</c:v>
                </c:pt>
              </c:strCache>
            </c:strRef>
          </c:cat>
          <c:val>
            <c:numRef>
              <c:f>LCA!$F$5:$F$8</c:f>
              <c:numCache>
                <c:formatCode>0</c:formatCode>
                <c:ptCount val="4"/>
                <c:pt idx="0">
                  <c:v>134.27790149607429</c:v>
                </c:pt>
                <c:pt idx="1">
                  <c:v>80.330812741999438</c:v>
                </c:pt>
                <c:pt idx="2">
                  <c:v>49.676913489097409</c:v>
                </c:pt>
                <c:pt idx="3">
                  <c:v>5.8798417989418512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E2-3F4D-BC60-4B0AA5645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9634688"/>
        <c:axId val="949635104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LCA!$E$4</c15:sqref>
                        </c15:formulaRef>
                      </c:ext>
                    </c:extLst>
                    <c:strCache>
                      <c:ptCount val="1"/>
                      <c:pt idx="0">
                        <c:v>Vehicle Operation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LCA!$B$5:$B$8</c15:sqref>
                        </c15:formulaRef>
                      </c:ext>
                    </c:extLst>
                    <c:strCache>
                      <c:ptCount val="4"/>
                      <c:pt idx="0">
                        <c:v>Natural Gas</c:v>
                      </c:pt>
                      <c:pt idx="1">
                        <c:v>NG with CO2 Sequestration</c:v>
                      </c:pt>
                      <c:pt idx="2">
                        <c:v>PEM Electrolysis - Solar</c:v>
                      </c:pt>
                      <c:pt idx="3">
                        <c:v>PEM Electrolysis - Nuclear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LCA!$E$5:$E$8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4AE2-3F4D-BC60-4B0AA56453E3}"/>
                  </c:ext>
                </c:extLst>
              </c15:ser>
            </c15:filteredBarSeries>
          </c:ext>
        </c:extLst>
      </c:barChart>
      <c:catAx>
        <c:axId val="949634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635104"/>
        <c:crosses val="autoZero"/>
        <c:auto val="1"/>
        <c:lblAlgn val="ctr"/>
        <c:lblOffset val="100"/>
        <c:noMultiLvlLbl val="0"/>
      </c:catAx>
      <c:valAx>
        <c:axId val="94963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GHG Emission in Btu/MJ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63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WTW GHG emission 2021 vs 2034</a:t>
            </a:r>
            <a:endParaRPr lang="en-US"/>
          </a:p>
        </c:rich>
      </c:tx>
      <c:layout>
        <c:manualLayout>
          <c:xMode val="edge"/>
          <c:yMode val="edge"/>
          <c:x val="0.4165834109445996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LCA!$C$16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LCA!$B$17:$B$20</c:f>
              <c:strCache>
                <c:ptCount val="4"/>
                <c:pt idx="0">
                  <c:v>Natural Gas</c:v>
                </c:pt>
                <c:pt idx="1">
                  <c:v>NG with CO2 Sequestration</c:v>
                </c:pt>
                <c:pt idx="2">
                  <c:v>PEM Electrolysis - Solar</c:v>
                </c:pt>
                <c:pt idx="3">
                  <c:v>PEM Electrolysis - Nuclear</c:v>
                </c:pt>
              </c:strCache>
            </c:strRef>
          </c:cat>
          <c:val>
            <c:numRef>
              <c:f>LCA!$C$17:$C$20</c:f>
              <c:numCache>
                <c:formatCode>0</c:formatCode>
                <c:ptCount val="4"/>
                <c:pt idx="0">
                  <c:v>134.27790149607429</c:v>
                </c:pt>
                <c:pt idx="1">
                  <c:v>80.330812741999438</c:v>
                </c:pt>
                <c:pt idx="2">
                  <c:v>49.676913489097409</c:v>
                </c:pt>
                <c:pt idx="3">
                  <c:v>5.8798417989418512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36-204B-903B-767B90A4C7B0}"/>
            </c:ext>
          </c:extLst>
        </c:ser>
        <c:ser>
          <c:idx val="1"/>
          <c:order val="1"/>
          <c:tx>
            <c:strRef>
              <c:f>LCA!$D$16</c:f>
              <c:strCache>
                <c:ptCount val="1"/>
                <c:pt idx="0">
                  <c:v>2034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LCA!$B$17:$B$20</c:f>
              <c:strCache>
                <c:ptCount val="4"/>
                <c:pt idx="0">
                  <c:v>Natural Gas</c:v>
                </c:pt>
                <c:pt idx="1">
                  <c:v>NG with CO2 Sequestration</c:v>
                </c:pt>
                <c:pt idx="2">
                  <c:v>PEM Electrolysis - Solar</c:v>
                </c:pt>
                <c:pt idx="3">
                  <c:v>PEM Electrolysis - Nuclear</c:v>
                </c:pt>
              </c:strCache>
            </c:strRef>
          </c:cat>
          <c:val>
            <c:numRef>
              <c:f>LCA!$D$17:$D$20</c:f>
              <c:numCache>
                <c:formatCode>0</c:formatCode>
                <c:ptCount val="4"/>
                <c:pt idx="0">
                  <c:v>123.03786855995969</c:v>
                </c:pt>
                <c:pt idx="1">
                  <c:v>67.786731420360695</c:v>
                </c:pt>
                <c:pt idx="2">
                  <c:v>38.611464770867009</c:v>
                </c:pt>
                <c:pt idx="3">
                  <c:v>4.6511014927485945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36-204B-903B-767B90A4C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1463856"/>
        <c:axId val="761464272"/>
      </c:barChart>
      <c:catAx>
        <c:axId val="76146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464272"/>
        <c:crosses val="autoZero"/>
        <c:auto val="1"/>
        <c:lblAlgn val="ctr"/>
        <c:lblOffset val="100"/>
        <c:noMultiLvlLbl val="0"/>
      </c:catAx>
      <c:valAx>
        <c:axId val="76146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GHG Emission in Btu/MJ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46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3154FC-D996-CA43-848D-F64B4C780B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14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5C51BD-FA6B-504C-9581-AB7D46C23E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pld508_ads_northwestern_edu/Documents/Adrian%20Hernandez/ARPA-E%20LOCOMOTIVES/ANL/Hydrogen_Delivery_Scenario_Analysis_Model_(HDSAM)_V4.0_Draft_Locomotives_Unlocked%20-%20Copy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OPYRIGHT"/>
      <sheetName val="Title"/>
      <sheetName val="Scenario"/>
      <sheetName val="Results Summary"/>
      <sheetName val="Refueling Station - Liquid H2"/>
      <sheetName val="HDRefueling Station-Liquid H2"/>
      <sheetName val="H2 Liquefier"/>
      <sheetName val="Liquid H2 Terminal"/>
      <sheetName val="Energy and GHG Results"/>
      <sheetName val="Scenario Parameters"/>
      <sheetName val="Cash Flow Results"/>
      <sheetName val="Refueling Station - Gaseous H2"/>
      <sheetName val="HDRefueling Station-Gaseous H2"/>
      <sheetName val="Refueling Station - MOF"/>
      <sheetName val="Compressed Gas H2 Terminal"/>
      <sheetName val="Compressed H2 Truck"/>
      <sheetName val="Truck - LH2 Delivery"/>
      <sheetName val="H2 Pipeline"/>
      <sheetName val="H2 Compressor"/>
      <sheetName val="Gaseous H2 Geologic Storage"/>
      <sheetName val="Feedstock &amp; Utility Prices"/>
      <sheetName val="Financial Inputs"/>
      <sheetName val="MACRS_Depr. Table"/>
      <sheetName val="Physical Property Data"/>
      <sheetName val="GREET Data"/>
      <sheetName val="Cost Data"/>
      <sheetName val="Design Data"/>
      <sheetName val="Population"/>
    </sheetNames>
    <sheetDataSet>
      <sheetData sheetId="0"/>
      <sheetData sheetId="1"/>
      <sheetData sheetId="2"/>
      <sheetData sheetId="3">
        <row r="4">
          <cell r="R4" t="str">
            <v>High</v>
          </cell>
        </row>
        <row r="15">
          <cell r="O15">
            <v>20</v>
          </cell>
        </row>
        <row r="16">
          <cell r="O16">
            <v>6</v>
          </cell>
        </row>
      </sheetData>
      <sheetData sheetId="4"/>
      <sheetData sheetId="5"/>
      <sheetData sheetId="6">
        <row r="26">
          <cell r="B26" t="str">
            <v>Cryo-pump</v>
          </cell>
        </row>
        <row r="29">
          <cell r="B29">
            <v>600000</v>
          </cell>
        </row>
        <row r="285">
          <cell r="B285">
            <v>1130630.6802434155</v>
          </cell>
        </row>
      </sheetData>
      <sheetData sheetId="7">
        <row r="31">
          <cell r="B31">
            <v>654627.48264179518</v>
          </cell>
        </row>
        <row r="104">
          <cell r="B104">
            <v>1683284820.0023744</v>
          </cell>
        </row>
      </sheetData>
      <sheetData sheetId="8">
        <row r="184">
          <cell r="B184">
            <v>331473338.69410121</v>
          </cell>
        </row>
      </sheetData>
      <sheetData sheetId="9"/>
      <sheetData sheetId="10"/>
      <sheetData sheetId="11"/>
      <sheetData sheetId="12"/>
      <sheetData sheetId="13">
        <row r="28">
          <cell r="B28">
            <v>150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B526F-FF2A-6B47-AFD0-C5F53150CBF7}">
  <dimension ref="A3:F35"/>
  <sheetViews>
    <sheetView tabSelected="1" workbookViewId="0">
      <selection activeCell="Q21" sqref="Q21"/>
    </sheetView>
  </sheetViews>
  <sheetFormatPr baseColWidth="10" defaultColWidth="8.83203125" defaultRowHeight="15" x14ac:dyDescent="0.2"/>
  <cols>
    <col min="1" max="1" width="8.83203125" style="1"/>
    <col min="2" max="2" width="26.1640625" style="1" customWidth="1"/>
    <col min="3" max="3" width="11.6640625" style="1" bestFit="1" customWidth="1"/>
    <col min="4" max="4" width="11.83203125" style="1" customWidth="1"/>
    <col min="5" max="5" width="14.83203125" style="1" bestFit="1" customWidth="1"/>
    <col min="6" max="6" width="9.1640625" style="1" bestFit="1" customWidth="1"/>
    <col min="7" max="7" width="8.83203125" style="1" bestFit="1" customWidth="1"/>
    <col min="8" max="8" width="9.1640625" style="1" bestFit="1" customWidth="1"/>
    <col min="9" max="9" width="14.83203125" style="1" bestFit="1" customWidth="1"/>
    <col min="10" max="10" width="9.1640625" style="1" bestFit="1" customWidth="1"/>
    <col min="11" max="16384" width="8.83203125" style="1"/>
  </cols>
  <sheetData>
    <row r="3" spans="1:6" x14ac:dyDescent="0.2">
      <c r="C3" s="4" t="s">
        <v>0</v>
      </c>
      <c r="D3" s="4"/>
      <c r="E3" s="4"/>
      <c r="F3" s="4"/>
    </row>
    <row r="4" spans="1:6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x14ac:dyDescent="0.2">
      <c r="A5" s="1">
        <v>2021</v>
      </c>
      <c r="B5" s="1" t="s">
        <v>7</v>
      </c>
      <c r="C5" s="2">
        <v>13.526976602481877</v>
      </c>
      <c r="D5" s="2">
        <v>120.75092489359244</v>
      </c>
      <c r="E5" s="2">
        <v>0</v>
      </c>
      <c r="F5" s="2">
        <v>134.27790149607429</v>
      </c>
    </row>
    <row r="6" spans="1:6" x14ac:dyDescent="0.2">
      <c r="A6" s="1">
        <v>2021</v>
      </c>
      <c r="B6" s="1" t="s">
        <v>8</v>
      </c>
      <c r="C6" s="2">
        <v>13.896688917266216</v>
      </c>
      <c r="D6" s="2">
        <v>66.434123824733234</v>
      </c>
      <c r="E6" s="2">
        <v>0</v>
      </c>
      <c r="F6" s="2">
        <v>80.330812741999438</v>
      </c>
    </row>
    <row r="7" spans="1:6" x14ac:dyDescent="0.2">
      <c r="A7" s="1">
        <v>2021</v>
      </c>
      <c r="B7" s="1" t="s">
        <v>9</v>
      </c>
      <c r="C7" s="2">
        <v>0</v>
      </c>
      <c r="D7" s="2">
        <v>49.676913489097409</v>
      </c>
      <c r="E7" s="2">
        <v>0</v>
      </c>
      <c r="F7" s="2">
        <v>49.676913489097409</v>
      </c>
    </row>
    <row r="8" spans="1:6" x14ac:dyDescent="0.2">
      <c r="A8" s="1">
        <v>2021</v>
      </c>
      <c r="B8" s="1" t="s">
        <v>10</v>
      </c>
      <c r="C8" s="2">
        <v>3.2786489959671736</v>
      </c>
      <c r="D8" s="2">
        <v>2.6011928029746776</v>
      </c>
      <c r="E8" s="2">
        <v>0</v>
      </c>
      <c r="F8" s="2">
        <v>5.8798417989418512</v>
      </c>
    </row>
    <row r="9" spans="1:6" x14ac:dyDescent="0.2">
      <c r="A9" s="1">
        <v>2034</v>
      </c>
      <c r="B9" s="1" t="s">
        <v>7</v>
      </c>
      <c r="C9" s="2">
        <v>13.482910214935533</v>
      </c>
      <c r="D9" s="2">
        <v>109.55495834502412</v>
      </c>
      <c r="E9" s="2">
        <v>0</v>
      </c>
      <c r="F9" s="2">
        <v>123.03786855995969</v>
      </c>
    </row>
    <row r="10" spans="1:6" x14ac:dyDescent="0.2">
      <c r="A10" s="1">
        <v>2034</v>
      </c>
      <c r="B10" s="1" t="s">
        <v>8</v>
      </c>
      <c r="C10" s="2">
        <v>13.851418130050773</v>
      </c>
      <c r="D10" s="2">
        <v>53.935313290309928</v>
      </c>
      <c r="E10" s="2">
        <v>0</v>
      </c>
      <c r="F10" s="2">
        <v>67.786731420360695</v>
      </c>
    </row>
    <row r="11" spans="1:6" x14ac:dyDescent="0.2">
      <c r="A11" s="1">
        <v>2034</v>
      </c>
      <c r="B11" s="1" t="s">
        <v>9</v>
      </c>
      <c r="C11" s="2">
        <v>0</v>
      </c>
      <c r="D11" s="2">
        <v>38.611464770867009</v>
      </c>
      <c r="E11" s="2">
        <v>0</v>
      </c>
      <c r="F11" s="2">
        <v>38.611464770867009</v>
      </c>
    </row>
    <row r="12" spans="1:6" x14ac:dyDescent="0.2">
      <c r="A12" s="1">
        <v>2034</v>
      </c>
      <c r="B12" s="1" t="s">
        <v>10</v>
      </c>
      <c r="C12" s="2">
        <v>2.5709394207466802</v>
      </c>
      <c r="D12" s="2">
        <v>2.0801620720019138</v>
      </c>
      <c r="E12" s="2">
        <v>0</v>
      </c>
      <c r="F12" s="2">
        <v>4.6511014927485945</v>
      </c>
    </row>
    <row r="15" spans="1:6" x14ac:dyDescent="0.2">
      <c r="C15" s="4" t="s">
        <v>0</v>
      </c>
      <c r="D15" s="4"/>
    </row>
    <row r="16" spans="1:6" x14ac:dyDescent="0.2">
      <c r="B16" s="3" t="s">
        <v>2</v>
      </c>
      <c r="C16" s="3">
        <v>2021</v>
      </c>
      <c r="D16" s="3">
        <v>2034</v>
      </c>
    </row>
    <row r="17" spans="2:4" x14ac:dyDescent="0.2">
      <c r="B17" s="1" t="s">
        <v>7</v>
      </c>
      <c r="C17" s="2">
        <v>134.27790149607429</v>
      </c>
      <c r="D17" s="2">
        <v>123.03786855995969</v>
      </c>
    </row>
    <row r="18" spans="2:4" x14ac:dyDescent="0.2">
      <c r="B18" s="1" t="s">
        <v>8</v>
      </c>
      <c r="C18" s="2">
        <v>80.330812741999438</v>
      </c>
      <c r="D18" s="2">
        <v>67.786731420360695</v>
      </c>
    </row>
    <row r="19" spans="2:4" x14ac:dyDescent="0.2">
      <c r="B19" s="1" t="s">
        <v>9</v>
      </c>
      <c r="C19" s="2">
        <v>49.676913489097409</v>
      </c>
      <c r="D19" s="2">
        <v>38.611464770867009</v>
      </c>
    </row>
    <row r="20" spans="2:4" x14ac:dyDescent="0.2">
      <c r="B20" s="1" t="s">
        <v>10</v>
      </c>
      <c r="C20" s="2">
        <v>5.8798417989418512</v>
      </c>
      <c r="D20" s="2">
        <v>4.6511014927485945</v>
      </c>
    </row>
    <row r="23" spans="2:4" x14ac:dyDescent="0.2">
      <c r="C23" s="1">
        <v>3.6</v>
      </c>
      <c r="D23" s="1" t="s">
        <v>11</v>
      </c>
    </row>
    <row r="27" spans="2:4" x14ac:dyDescent="0.2">
      <c r="C27" s="4" t="s">
        <v>0</v>
      </c>
      <c r="D27" s="4"/>
    </row>
    <row r="28" spans="2:4" x14ac:dyDescent="0.2">
      <c r="B28" s="3" t="s">
        <v>2</v>
      </c>
      <c r="C28" s="3">
        <v>2021</v>
      </c>
      <c r="D28" s="3">
        <v>2034</v>
      </c>
    </row>
    <row r="29" spans="2:4" x14ac:dyDescent="0.2">
      <c r="B29" s="1" t="s">
        <v>7</v>
      </c>
      <c r="C29" s="2">
        <f>C17*$E$35</f>
        <v>16113.348179528915</v>
      </c>
      <c r="D29" s="2">
        <f>D17*$E$35</f>
        <v>14764.544227195163</v>
      </c>
    </row>
    <row r="30" spans="2:4" x14ac:dyDescent="0.2">
      <c r="B30" s="1" t="s">
        <v>8</v>
      </c>
      <c r="C30" s="2">
        <f t="shared" ref="C30:D32" si="0">C18*$E$35</f>
        <v>9639.6975290399332</v>
      </c>
      <c r="D30" s="2">
        <f t="shared" si="0"/>
        <v>8134.4077704432839</v>
      </c>
    </row>
    <row r="31" spans="2:4" x14ac:dyDescent="0.2">
      <c r="B31" s="1" t="s">
        <v>9</v>
      </c>
      <c r="C31" s="2">
        <f t="shared" si="0"/>
        <v>5961.2296186916892</v>
      </c>
      <c r="D31" s="2">
        <f t="shared" si="0"/>
        <v>4633.3757725040414</v>
      </c>
    </row>
    <row r="32" spans="2:4" x14ac:dyDescent="0.2">
      <c r="B32" s="1" t="s">
        <v>10</v>
      </c>
      <c r="C32" s="2">
        <f t="shared" si="0"/>
        <v>705.58101587302212</v>
      </c>
      <c r="D32" s="2">
        <f t="shared" si="0"/>
        <v>558.13217912983134</v>
      </c>
    </row>
    <row r="35" spans="5:6" x14ac:dyDescent="0.2">
      <c r="E35" s="1">
        <f>120</f>
        <v>120</v>
      </c>
      <c r="F35" s="1" t="s">
        <v>70</v>
      </c>
    </row>
  </sheetData>
  <mergeCells count="3">
    <mergeCell ref="C3:F3"/>
    <mergeCell ref="C15:D15"/>
    <mergeCell ref="C27:D27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D7D3-5057-B34B-ACFB-C83EA28E3AD3}">
  <dimension ref="A1:H49"/>
  <sheetViews>
    <sheetView workbookViewId="0">
      <selection activeCell="I33" sqref="I33"/>
    </sheetView>
  </sheetViews>
  <sheetFormatPr baseColWidth="10" defaultRowHeight="16" x14ac:dyDescent="0.2"/>
  <cols>
    <col min="2" max="2" width="15.33203125" bestFit="1" customWidth="1"/>
  </cols>
  <sheetData>
    <row r="1" spans="1:8" x14ac:dyDescent="0.2">
      <c r="A1" t="s">
        <v>12</v>
      </c>
      <c r="B1" t="s">
        <v>62</v>
      </c>
    </row>
    <row r="2" spans="1:8" x14ac:dyDescent="0.2">
      <c r="A2" t="s">
        <v>13</v>
      </c>
      <c r="B2">
        <v>414.9882255</v>
      </c>
      <c r="C2">
        <f>B2/$G$3</f>
        <v>115.27450708333333</v>
      </c>
    </row>
    <row r="3" spans="1:8" x14ac:dyDescent="0.2">
      <c r="A3" t="s">
        <v>14</v>
      </c>
      <c r="B3">
        <v>463.4052638</v>
      </c>
      <c r="C3">
        <f t="shared" ref="C3:C49" si="0">B3/$G$3</f>
        <v>128.7236843888889</v>
      </c>
      <c r="G3" s="1">
        <v>3.6</v>
      </c>
      <c r="H3" t="s">
        <v>61</v>
      </c>
    </row>
    <row r="4" spans="1:8" x14ac:dyDescent="0.2">
      <c r="A4" t="s">
        <v>15</v>
      </c>
      <c r="B4">
        <v>248.96130429999999</v>
      </c>
      <c r="C4">
        <f t="shared" si="0"/>
        <v>69.155917861111107</v>
      </c>
      <c r="G4">
        <v>126.13</v>
      </c>
      <c r="H4" t="s">
        <v>69</v>
      </c>
    </row>
    <row r="5" spans="1:8" x14ac:dyDescent="0.2">
      <c r="A5" t="s">
        <v>16</v>
      </c>
      <c r="B5">
        <v>143.7495868</v>
      </c>
      <c r="C5">
        <f t="shared" si="0"/>
        <v>39.930440777777775</v>
      </c>
    </row>
    <row r="6" spans="1:8" x14ac:dyDescent="0.2">
      <c r="A6" t="s">
        <v>17</v>
      </c>
      <c r="B6">
        <v>426.37914469999998</v>
      </c>
      <c r="C6">
        <f t="shared" si="0"/>
        <v>118.43865130555555</v>
      </c>
    </row>
    <row r="7" spans="1:8" x14ac:dyDescent="0.2">
      <c r="A7" t="s">
        <v>18</v>
      </c>
      <c r="B7">
        <v>249.5445301</v>
      </c>
      <c r="C7">
        <f t="shared" si="0"/>
        <v>69.317925027777775</v>
      </c>
      <c r="E7" t="s">
        <v>63</v>
      </c>
      <c r="F7" t="s">
        <v>64</v>
      </c>
      <c r="G7" t="s">
        <v>68</v>
      </c>
    </row>
    <row r="8" spans="1:8" x14ac:dyDescent="0.2">
      <c r="A8" t="s">
        <v>19</v>
      </c>
      <c r="B8">
        <v>142.22595860000001</v>
      </c>
      <c r="C8">
        <f t="shared" si="0"/>
        <v>39.507210722222226</v>
      </c>
      <c r="E8" t="s">
        <v>65</v>
      </c>
      <c r="F8">
        <v>12360.04118</v>
      </c>
      <c r="G8">
        <f>F8/$G$4</f>
        <v>97.994459525886001</v>
      </c>
    </row>
    <row r="9" spans="1:8" x14ac:dyDescent="0.2">
      <c r="A9" t="s">
        <v>20</v>
      </c>
      <c r="B9">
        <v>347.2944018</v>
      </c>
      <c r="C9">
        <f t="shared" si="0"/>
        <v>96.470667166666658</v>
      </c>
      <c r="E9" t="s">
        <v>66</v>
      </c>
      <c r="F9">
        <v>3496.9295400000001</v>
      </c>
      <c r="G9">
        <f t="shared" ref="G9:G10" si="1">F9/$G$4</f>
        <v>27.724804091017205</v>
      </c>
    </row>
    <row r="10" spans="1:8" x14ac:dyDescent="0.2">
      <c r="A10" t="s">
        <v>21</v>
      </c>
      <c r="B10">
        <v>338.85966509999997</v>
      </c>
      <c r="C10">
        <f t="shared" si="0"/>
        <v>94.127684749999986</v>
      </c>
      <c r="E10" t="s">
        <v>67</v>
      </c>
      <c r="F10">
        <v>71.371271559999997</v>
      </c>
      <c r="G10">
        <f t="shared" si="1"/>
        <v>0.56585484468405611</v>
      </c>
    </row>
    <row r="11" spans="1:8" x14ac:dyDescent="0.2">
      <c r="A11" t="s">
        <v>22</v>
      </c>
      <c r="B11">
        <v>447.57514859999998</v>
      </c>
      <c r="C11">
        <f t="shared" si="0"/>
        <v>124.32643016666665</v>
      </c>
    </row>
    <row r="12" spans="1:8" x14ac:dyDescent="0.2">
      <c r="A12" t="s">
        <v>23</v>
      </c>
      <c r="B12">
        <v>182.7762305</v>
      </c>
      <c r="C12">
        <f t="shared" si="0"/>
        <v>50.771175138888886</v>
      </c>
    </row>
    <row r="13" spans="1:8" x14ac:dyDescent="0.2">
      <c r="A13" t="s">
        <v>24</v>
      </c>
      <c r="B13">
        <v>258.53339620000003</v>
      </c>
      <c r="C13">
        <f t="shared" si="0"/>
        <v>71.814832277777782</v>
      </c>
    </row>
    <row r="14" spans="1:8" x14ac:dyDescent="0.2">
      <c r="A14" t="s">
        <v>25</v>
      </c>
      <c r="B14">
        <v>689.03825419999998</v>
      </c>
      <c r="C14">
        <f t="shared" si="0"/>
        <v>191.39951505555555</v>
      </c>
    </row>
    <row r="15" spans="1:8" x14ac:dyDescent="0.2">
      <c r="A15" t="s">
        <v>26</v>
      </c>
      <c r="B15">
        <v>311.51704089999998</v>
      </c>
      <c r="C15">
        <f t="shared" si="0"/>
        <v>86.532511361111105</v>
      </c>
    </row>
    <row r="16" spans="1:8" x14ac:dyDescent="0.2">
      <c r="A16" t="s">
        <v>27</v>
      </c>
      <c r="B16">
        <v>620.61189239999999</v>
      </c>
      <c r="C16">
        <f t="shared" si="0"/>
        <v>172.39219233333333</v>
      </c>
    </row>
    <row r="17" spans="1:3" x14ac:dyDescent="0.2">
      <c r="A17" t="s">
        <v>28</v>
      </c>
      <c r="B17">
        <v>356.20768429999998</v>
      </c>
      <c r="C17">
        <f t="shared" si="0"/>
        <v>98.946578972222213</v>
      </c>
    </row>
    <row r="18" spans="1:3" x14ac:dyDescent="0.2">
      <c r="A18" t="s">
        <v>29</v>
      </c>
      <c r="B18">
        <v>129.0697686</v>
      </c>
      <c r="C18">
        <f t="shared" si="0"/>
        <v>35.8527135</v>
      </c>
    </row>
    <row r="19" spans="1:3" x14ac:dyDescent="0.2">
      <c r="A19" t="s">
        <v>30</v>
      </c>
      <c r="B19">
        <v>207.14651420000001</v>
      </c>
      <c r="C19">
        <f t="shared" si="0"/>
        <v>57.540698388888892</v>
      </c>
    </row>
    <row r="20" spans="1:3" x14ac:dyDescent="0.2">
      <c r="A20" t="s">
        <v>31</v>
      </c>
      <c r="B20">
        <v>114.56131860000001</v>
      </c>
      <c r="C20">
        <f t="shared" si="0"/>
        <v>31.822588500000002</v>
      </c>
    </row>
    <row r="21" spans="1:3" x14ac:dyDescent="0.2">
      <c r="A21" t="s">
        <v>32</v>
      </c>
      <c r="B21">
        <v>349.20693010000002</v>
      </c>
      <c r="C21">
        <f t="shared" si="0"/>
        <v>97.001925027777787</v>
      </c>
    </row>
    <row r="22" spans="1:3" x14ac:dyDescent="0.2">
      <c r="A22" t="s">
        <v>33</v>
      </c>
      <c r="B22">
        <v>153.0502889</v>
      </c>
      <c r="C22">
        <f t="shared" si="0"/>
        <v>42.513969138888889</v>
      </c>
    </row>
    <row r="23" spans="1:3" x14ac:dyDescent="0.2">
      <c r="A23" t="s">
        <v>34</v>
      </c>
      <c r="B23">
        <v>655.98322040000005</v>
      </c>
      <c r="C23">
        <f t="shared" si="0"/>
        <v>182.21756122222223</v>
      </c>
    </row>
    <row r="24" spans="1:3" x14ac:dyDescent="0.2">
      <c r="A24" t="s">
        <v>35</v>
      </c>
      <c r="B24">
        <v>294.98877470000002</v>
      </c>
      <c r="C24">
        <f t="shared" si="0"/>
        <v>81.941326305555563</v>
      </c>
    </row>
    <row r="25" spans="1:3" x14ac:dyDescent="0.2">
      <c r="A25" t="s">
        <v>36</v>
      </c>
      <c r="B25">
        <v>379.32606329999999</v>
      </c>
      <c r="C25">
        <f t="shared" si="0"/>
        <v>105.36835091666666</v>
      </c>
    </row>
    <row r="26" spans="1:3" x14ac:dyDescent="0.2">
      <c r="A26" t="s">
        <v>37</v>
      </c>
      <c r="B26">
        <v>394.17330029999999</v>
      </c>
      <c r="C26">
        <f t="shared" si="0"/>
        <v>109.49258341666666</v>
      </c>
    </row>
    <row r="27" spans="1:3" x14ac:dyDescent="0.2">
      <c r="A27" t="s">
        <v>38</v>
      </c>
      <c r="B27">
        <v>416.0750281</v>
      </c>
      <c r="C27">
        <f t="shared" si="0"/>
        <v>115.57639669444444</v>
      </c>
    </row>
    <row r="28" spans="1:3" x14ac:dyDescent="0.2">
      <c r="A28" t="s">
        <v>39</v>
      </c>
      <c r="B28">
        <v>365.92368329999999</v>
      </c>
      <c r="C28">
        <f t="shared" si="0"/>
        <v>101.64546758333333</v>
      </c>
    </row>
    <row r="29" spans="1:3" x14ac:dyDescent="0.2">
      <c r="A29" t="s">
        <v>40</v>
      </c>
      <c r="B29">
        <v>22.926293319999999</v>
      </c>
      <c r="C29">
        <f t="shared" si="0"/>
        <v>6.3684148111111103</v>
      </c>
    </row>
    <row r="30" spans="1:3" x14ac:dyDescent="0.2">
      <c r="A30" t="s">
        <v>41</v>
      </c>
      <c r="B30">
        <v>221.16395919999999</v>
      </c>
      <c r="C30">
        <f t="shared" si="0"/>
        <v>61.434433111111105</v>
      </c>
    </row>
    <row r="31" spans="1:3" x14ac:dyDescent="0.2">
      <c r="A31" t="s">
        <v>42</v>
      </c>
      <c r="B31">
        <v>324.54322519999999</v>
      </c>
      <c r="C31">
        <f t="shared" si="0"/>
        <v>90.150895888888883</v>
      </c>
    </row>
    <row r="32" spans="1:3" x14ac:dyDescent="0.2">
      <c r="A32" t="s">
        <v>43</v>
      </c>
      <c r="B32">
        <v>299.74482069999999</v>
      </c>
      <c r="C32">
        <f t="shared" si="0"/>
        <v>83.26245019444444</v>
      </c>
    </row>
    <row r="33" spans="1:3" x14ac:dyDescent="0.2">
      <c r="A33" t="s">
        <v>44</v>
      </c>
      <c r="B33">
        <v>110.4012257</v>
      </c>
      <c r="C33">
        <f t="shared" si="0"/>
        <v>30.667007138888888</v>
      </c>
    </row>
    <row r="34" spans="1:3" x14ac:dyDescent="0.2">
      <c r="A34" t="s">
        <v>45</v>
      </c>
      <c r="B34">
        <v>566.79359820000002</v>
      </c>
      <c r="C34">
        <f t="shared" si="0"/>
        <v>157.44266616666667</v>
      </c>
    </row>
    <row r="35" spans="1:3" x14ac:dyDescent="0.2">
      <c r="A35" t="s">
        <v>46</v>
      </c>
      <c r="B35">
        <v>191.13657929999999</v>
      </c>
      <c r="C35">
        <f t="shared" si="0"/>
        <v>53.093494249999999</v>
      </c>
    </row>
    <row r="36" spans="1:3" x14ac:dyDescent="0.2">
      <c r="A36" t="s">
        <v>47</v>
      </c>
      <c r="B36">
        <v>77.174789559999994</v>
      </c>
      <c r="C36">
        <f t="shared" si="0"/>
        <v>21.437441544444443</v>
      </c>
    </row>
    <row r="37" spans="1:3" x14ac:dyDescent="0.2">
      <c r="A37" t="s">
        <v>48</v>
      </c>
      <c r="B37">
        <v>456.18236089999999</v>
      </c>
      <c r="C37">
        <f t="shared" si="0"/>
        <v>126.71732247222222</v>
      </c>
    </row>
    <row r="38" spans="1:3" x14ac:dyDescent="0.2">
      <c r="A38" t="s">
        <v>49</v>
      </c>
      <c r="B38">
        <v>91.039308849999998</v>
      </c>
      <c r="C38">
        <f t="shared" si="0"/>
        <v>25.288696902777776</v>
      </c>
    </row>
    <row r="39" spans="1:3" x14ac:dyDescent="0.2">
      <c r="A39" t="s">
        <v>50</v>
      </c>
      <c r="B39">
        <v>197.4927064</v>
      </c>
      <c r="C39">
        <f t="shared" si="0"/>
        <v>54.859085111111114</v>
      </c>
    </row>
    <row r="40" spans="1:3" x14ac:dyDescent="0.2">
      <c r="A40" t="s">
        <v>51</v>
      </c>
      <c r="B40">
        <v>86.4030214</v>
      </c>
      <c r="C40">
        <f t="shared" si="0"/>
        <v>24.000839277777779</v>
      </c>
    </row>
    <row r="41" spans="1:3" x14ac:dyDescent="0.2">
      <c r="A41" t="s">
        <v>52</v>
      </c>
      <c r="B41">
        <v>300.43439239999998</v>
      </c>
      <c r="C41">
        <f t="shared" si="0"/>
        <v>83.453997888888878</v>
      </c>
    </row>
    <row r="42" spans="1:3" x14ac:dyDescent="0.2">
      <c r="A42" t="s">
        <v>53</v>
      </c>
      <c r="B42">
        <v>253.45582479999999</v>
      </c>
      <c r="C42">
        <f t="shared" si="0"/>
        <v>70.404395777777779</v>
      </c>
    </row>
    <row r="43" spans="1:3" x14ac:dyDescent="0.2">
      <c r="A43" t="s">
        <v>54</v>
      </c>
      <c r="B43">
        <v>723.66202150000004</v>
      </c>
      <c r="C43">
        <f t="shared" si="0"/>
        <v>201.01722819444444</v>
      </c>
    </row>
    <row r="44" spans="1:3" x14ac:dyDescent="0.2">
      <c r="A44" t="s">
        <v>55</v>
      </c>
      <c r="B44">
        <v>163.60975239999999</v>
      </c>
      <c r="C44">
        <f t="shared" si="0"/>
        <v>45.447153444444439</v>
      </c>
    </row>
    <row r="45" spans="1:3" x14ac:dyDescent="0.2">
      <c r="A45" t="s">
        <v>56</v>
      </c>
      <c r="B45">
        <v>48.138411470000001</v>
      </c>
      <c r="C45">
        <f t="shared" si="0"/>
        <v>13.371780963888888</v>
      </c>
    </row>
    <row r="46" spans="1:3" x14ac:dyDescent="0.2">
      <c r="A46" t="s">
        <v>57</v>
      </c>
      <c r="B46">
        <v>20.215769819999998</v>
      </c>
      <c r="C46">
        <f t="shared" si="0"/>
        <v>5.6154916166666657</v>
      </c>
    </row>
    <row r="47" spans="1:3" x14ac:dyDescent="0.2">
      <c r="A47" t="s">
        <v>58</v>
      </c>
      <c r="B47">
        <v>542.41776179999999</v>
      </c>
      <c r="C47">
        <f t="shared" si="0"/>
        <v>150.67160049999998</v>
      </c>
    </row>
    <row r="48" spans="1:3" x14ac:dyDescent="0.2">
      <c r="A48" t="s">
        <v>59</v>
      </c>
      <c r="B48">
        <v>592.023641</v>
      </c>
      <c r="C48">
        <f t="shared" si="0"/>
        <v>164.45101138888887</v>
      </c>
    </row>
    <row r="49" spans="1:3" x14ac:dyDescent="0.2">
      <c r="A49" t="s">
        <v>60</v>
      </c>
      <c r="B49">
        <v>567.91281790000005</v>
      </c>
      <c r="C49">
        <f t="shared" si="0"/>
        <v>157.75356052777778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 </cp:lastModifiedBy>
  <dcterms:created xsi:type="dcterms:W3CDTF">2022-11-12T16:05:50Z</dcterms:created>
  <dcterms:modified xsi:type="dcterms:W3CDTF">2022-11-29T22:17:56Z</dcterms:modified>
</cp:coreProperties>
</file>